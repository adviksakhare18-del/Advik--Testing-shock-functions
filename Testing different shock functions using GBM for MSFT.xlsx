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oti\OneDrive\Desktop\Finahhhnce\Excel stuff\"/>
    </mc:Choice>
  </mc:AlternateContent>
  <xr:revisionPtr revIDLastSave="0" documentId="13_ncr:1_{AC838761-DEBF-4FF9-B521-1EBBFA51C045}" xr6:coauthVersionLast="47" xr6:coauthVersionMax="47" xr10:uidLastSave="{00000000-0000-0000-0000-000000000000}"/>
  <bookViews>
    <workbookView xWindow="-110" yWindow="-110" windowWidth="19420" windowHeight="10300" xr2:uid="{0AF92D8D-8CB7-4518-A7AA-5455A3E1F9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" l="1"/>
  <c r="M18" i="1"/>
  <c r="L18" i="1"/>
  <c r="H18" i="1"/>
  <c r="R4" i="1"/>
  <c r="R5" i="1"/>
  <c r="R6" i="1"/>
  <c r="R7" i="1"/>
  <c r="R8" i="1"/>
  <c r="R9" i="1"/>
  <c r="R10" i="1"/>
  <c r="R11" i="1"/>
  <c r="R12" i="1"/>
  <c r="R13" i="1"/>
  <c r="A2" i="1" a="1"/>
  <c r="H2" i="1" a="1"/>
  <c r="A2" i="1" l="1"/>
  <c r="P3" i="1"/>
  <c r="H2" i="1"/>
  <c r="L3" i="1"/>
  <c r="E10" i="1"/>
  <c r="C6" i="1"/>
  <c r="C7" i="1" s="1"/>
  <c r="C8" i="1" s="1"/>
  <c r="U3" i="1"/>
  <c r="C4" i="1"/>
  <c r="C5" i="1"/>
  <c r="C9" i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E3" i="1" l="1"/>
  <c r="E7" i="1" s="1"/>
  <c r="F3" i="1"/>
  <c r="F7" i="1" s="1"/>
  <c r="P4" i="1" l="1"/>
  <c r="Q4" i="1" s="1"/>
  <c r="U4" i="1"/>
  <c r="V4" i="1" s="1"/>
  <c r="L4" i="1"/>
  <c r="P5" i="1" l="1"/>
  <c r="Q5" i="1" s="1"/>
  <c r="M4" i="1"/>
  <c r="L5" i="1"/>
  <c r="U5" i="1"/>
  <c r="V5" i="1" s="1"/>
  <c r="P6" i="1" l="1"/>
  <c r="Q6" i="1" s="1"/>
  <c r="M5" i="1"/>
  <c r="U6" i="1"/>
  <c r="V6" i="1" s="1"/>
  <c r="L6" i="1"/>
  <c r="M6" i="1" s="1"/>
  <c r="P7" i="1" l="1"/>
  <c r="Q7" i="1" s="1"/>
  <c r="U7" i="1"/>
  <c r="V7" i="1" s="1"/>
  <c r="L7" i="1"/>
  <c r="P8" i="1" l="1"/>
  <c r="Q8" i="1" s="1"/>
  <c r="M7" i="1"/>
  <c r="L8" i="1"/>
  <c r="U8" i="1"/>
  <c r="V8" i="1" s="1"/>
  <c r="P9" i="1" l="1"/>
  <c r="Q9" i="1" s="1"/>
  <c r="M8" i="1"/>
  <c r="U9" i="1"/>
  <c r="V9" i="1" s="1"/>
  <c r="L9" i="1"/>
  <c r="P10" i="1" l="1"/>
  <c r="Q10" i="1" s="1"/>
  <c r="M9" i="1"/>
  <c r="L10" i="1"/>
  <c r="U10" i="1"/>
  <c r="V10" i="1" s="1"/>
  <c r="P11" i="1" l="1"/>
  <c r="Q11" i="1" s="1"/>
  <c r="M10" i="1"/>
  <c r="L11" i="1"/>
  <c r="U11" i="1"/>
  <c r="V11" i="1" s="1"/>
  <c r="P12" i="1" l="1"/>
  <c r="Q12" i="1" s="1"/>
  <c r="M11" i="1"/>
  <c r="U12" i="1"/>
  <c r="V12" i="1" s="1"/>
  <c r="L12" i="1"/>
  <c r="P13" i="1" l="1"/>
  <c r="Q13" i="1" s="1"/>
  <c r="Q14" i="1" s="1"/>
  <c r="AD3" i="1" s="1"/>
  <c r="M12" i="1"/>
  <c r="U13" i="1"/>
  <c r="V13" i="1" s="1"/>
  <c r="L13" i="1"/>
  <c r="M13" i="1" s="1"/>
  <c r="M14" i="1" l="1"/>
  <c r="AA3" i="1" s="1"/>
  <c r="V14" i="1"/>
  <c r="AG3" i="1" s="1"/>
  <c r="G18" i="1" s="1"/>
  <c r="F18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01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</futureMetadata>
  <cellMetadata count="1">
    <bk>
      <rc t="1" v="0"/>
    </bk>
  </cellMetadata>
  <valueMetadata count="101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</valueMetadata>
</metadata>
</file>

<file path=xl/sharedStrings.xml><?xml version="1.0" encoding="utf-8"?>
<sst xmlns="http://schemas.openxmlformats.org/spreadsheetml/2006/main" count="52" uniqueCount="34">
  <si>
    <t>MSFT</t>
  </si>
  <si>
    <t>Drift</t>
  </si>
  <si>
    <t>Volatility</t>
  </si>
  <si>
    <t>Date</t>
  </si>
  <si>
    <t>Close</t>
  </si>
  <si>
    <t>Historical</t>
  </si>
  <si>
    <t>Return metrics</t>
  </si>
  <si>
    <t>Hist.Delta</t>
  </si>
  <si>
    <t>Log_return</t>
  </si>
  <si>
    <t>2yr_data</t>
  </si>
  <si>
    <t>Annualised</t>
  </si>
  <si>
    <t>Avg Price</t>
  </si>
  <si>
    <t>Avg.delta</t>
  </si>
  <si>
    <t>MC Sims</t>
  </si>
  <si>
    <t>Run</t>
  </si>
  <si>
    <t>Outcome</t>
  </si>
  <si>
    <t>Tan</t>
  </si>
  <si>
    <t>Std_Norm</t>
  </si>
  <si>
    <t>Name</t>
  </si>
  <si>
    <t>Mean</t>
  </si>
  <si>
    <t>Std.dev</t>
  </si>
  <si>
    <t>ln</t>
  </si>
  <si>
    <t>Avg.Delta</t>
  </si>
  <si>
    <t>x is rand(0,1)</t>
  </si>
  <si>
    <t>norm.s.inv(x)</t>
  </si>
  <si>
    <t>ln(x/(1-x))</t>
  </si>
  <si>
    <t>P1*tan(pi*x-pi/2)</t>
  </si>
  <si>
    <t>x</t>
  </si>
  <si>
    <t>ln(x/1-x)</t>
  </si>
  <si>
    <t>tan(pi*x-pi/2)</t>
  </si>
  <si>
    <t>Shock function error - Standard Deviation</t>
  </si>
  <si>
    <t>Shock function error - Mean</t>
  </si>
  <si>
    <t>Accuracy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</si>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</sst>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0.000%"/>
    <numFmt numFmtId="165" formatCode="0.0000%"/>
    <numFmt numFmtId="166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/>
    <xf numFmtId="164" fontId="0" fillId="0" borderId="0" xfId="1" applyNumberFormat="1" applyFont="1"/>
    <xf numFmtId="0" fontId="3" fillId="0" borderId="0" xfId="0" applyFont="1"/>
    <xf numFmtId="164" fontId="3" fillId="0" borderId="0" xfId="1" applyNumberFormat="1" applyFont="1"/>
    <xf numFmtId="14" fontId="0" fillId="0" borderId="0" xfId="0" applyNumberFormat="1"/>
    <xf numFmtId="44" fontId="0" fillId="0" borderId="0" xfId="2" applyFont="1"/>
    <xf numFmtId="44" fontId="3" fillId="0" borderId="0" xfId="2" applyFont="1"/>
    <xf numFmtId="165" fontId="0" fillId="0" borderId="0" xfId="1" applyNumberFormat="1" applyFont="1"/>
    <xf numFmtId="165" fontId="3" fillId="0" borderId="0" xfId="1" applyNumberFormat="1" applyFont="1"/>
    <xf numFmtId="0" fontId="3" fillId="0" borderId="4" xfId="0" applyFont="1" applyBorder="1"/>
    <xf numFmtId="165" fontId="0" fillId="0" borderId="0" xfId="1" applyNumberFormat="1" applyFont="1" applyBorder="1"/>
    <xf numFmtId="166" fontId="3" fillId="0" borderId="0" xfId="2" applyNumberFormat="1" applyFont="1"/>
    <xf numFmtId="166" fontId="0" fillId="0" borderId="0" xfId="2" applyNumberFormat="1" applyFont="1"/>
    <xf numFmtId="165" fontId="0" fillId="0" borderId="0" xfId="1" applyNumberFormat="1" applyFont="1" applyBorder="1" applyAlignment="1"/>
    <xf numFmtId="44" fontId="0" fillId="0" borderId="5" xfId="2" applyFont="1" applyBorder="1"/>
    <xf numFmtId="0" fontId="3" fillId="0" borderId="6" xfId="0" applyFont="1" applyBorder="1"/>
    <xf numFmtId="165" fontId="0" fillId="0" borderId="7" xfId="1" applyNumberFormat="1" applyFont="1" applyBorder="1"/>
    <xf numFmtId="165" fontId="0" fillId="0" borderId="7" xfId="1" applyNumberFormat="1" applyFont="1" applyBorder="1" applyAlignment="1"/>
    <xf numFmtId="165" fontId="0" fillId="0" borderId="8" xfId="1" applyNumberFormat="1" applyFont="1" applyBorder="1"/>
    <xf numFmtId="165" fontId="0" fillId="0" borderId="7" xfId="0" applyNumberFormat="1" applyBorder="1"/>
    <xf numFmtId="165" fontId="0" fillId="0" borderId="8" xfId="2" applyNumberFormat="1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Mean of Error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Sheet1!$E$18</c:f>
              <c:strCache>
                <c:ptCount val="1"/>
                <c:pt idx="0">
                  <c:v>Mean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Sheet1!$F$17:$H$17</c:f>
              <c:strCache>
                <c:ptCount val="3"/>
                <c:pt idx="0">
                  <c:v>Std_Norm</c:v>
                </c:pt>
                <c:pt idx="1">
                  <c:v>Tan</c:v>
                </c:pt>
                <c:pt idx="2">
                  <c:v> ln </c:v>
                </c:pt>
              </c:strCache>
            </c:strRef>
          </c:cat>
          <c:val>
            <c:numRef>
              <c:f>Sheet1!$F$18:$H$18</c:f>
              <c:numCache>
                <c:formatCode>0.0000%</c:formatCode>
                <c:ptCount val="3"/>
                <c:pt idx="0">
                  <c:v>3.5442087403833901E-2</c:v>
                </c:pt>
                <c:pt idx="1">
                  <c:v>2.3975600254776429E-2</c:v>
                </c:pt>
                <c:pt idx="2">
                  <c:v>3.6318731729692452E-2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6-4871-9392-0AC65FD212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278718127"/>
        <c:axId val="1278718607"/>
      </c:barChart>
      <c:catAx>
        <c:axId val="127871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18607"/>
        <c:crosses val="autoZero"/>
        <c:auto val="1"/>
        <c:lblAlgn val="ctr"/>
        <c:lblOffset val="100"/>
        <c:noMultiLvlLbl val="0"/>
      </c:catAx>
      <c:valAx>
        <c:axId val="12787186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1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std.dev</a:t>
            </a:r>
            <a:r>
              <a:rPr lang="en-US" baseline="0"/>
              <a:t> of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Sheet1!$K$18</c:f>
              <c:strCache>
                <c:ptCount val="1"/>
                <c:pt idx="0">
                  <c:v>Std.dev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Sheet1!$L$17:$N$17</c:f>
              <c:strCache>
                <c:ptCount val="3"/>
                <c:pt idx="0">
                  <c:v>Std_Norm</c:v>
                </c:pt>
                <c:pt idx="1">
                  <c:v>Tan</c:v>
                </c:pt>
                <c:pt idx="2">
                  <c:v> ln </c:v>
                </c:pt>
              </c:strCache>
            </c:strRef>
          </c:cat>
          <c:val>
            <c:numRef>
              <c:f>Sheet1!$L$18:$N$18</c:f>
              <c:numCache>
                <c:formatCode>0.0000%</c:formatCode>
                <c:ptCount val="3"/>
                <c:pt idx="0">
                  <c:v>1.8855695020304753E-2</c:v>
                </c:pt>
                <c:pt idx="1">
                  <c:v>1.2082309887163795E-2</c:v>
                </c:pt>
                <c:pt idx="2">
                  <c:v>1.4590653230198324E-2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3-48AB-B942-36D7C2700A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575298639"/>
        <c:axId val="575282319"/>
      </c:barChart>
      <c:catAx>
        <c:axId val="57529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82319"/>
        <c:crosses val="autoZero"/>
        <c:auto val="1"/>
        <c:lblAlgn val="ctr"/>
        <c:lblOffset val="100"/>
        <c:noMultiLvlLbl val="0"/>
      </c:catAx>
      <c:valAx>
        <c:axId val="5752823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9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34925</xdr:colOff>
      <xdr:row>18</xdr:row>
      <xdr:rowOff>133350</xdr:rowOff>
    </xdr:from>
    <xdr:to>
      <xdr:col>9</xdr:col>
      <xdr:colOff>304800</xdr:colOff>
      <xdr:row>33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7D6B53-9316-3058-4B6F-14D98AD77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434974</xdr:colOff>
      <xdr:row>18</xdr:row>
      <xdr:rowOff>120650</xdr:rowOff>
    </xdr:from>
    <xdr:to>
      <xdr:col>16</xdr:col>
      <xdr:colOff>19049</xdr:colOff>
      <xdr:row>33</xdr:row>
      <xdr:rowOff>69850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460098-EE7D-0717-1516-BD0C13860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4">
  <a r="1" c="502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</a>
  <a r="1" c="502">
    <v>370.87</v>
    <v>370.6</v>
    <v>367.94</v>
    <v>367.75</v>
    <v>374.69</v>
    <v>375.79</v>
    <v>382.77</v>
    <v>384.63</v>
    <v>388.47</v>
    <v>390.27</v>
    <v>389.47</v>
    <v>393.87</v>
    <v>398.67</v>
    <v>396.51</v>
    <v>398.9</v>
    <v>402.56</v>
    <v>404.87</v>
    <v>403.93</v>
    <v>409.72</v>
    <v>408.59</v>
    <v>397.58</v>
    <v>403.78</v>
    <v>411.22</v>
    <v>405.65</v>
    <v>405.49</v>
    <v>414.05</v>
    <v>414.11</v>
    <v>420.55</v>
    <v>415.26</v>
    <v>406.32</v>
    <v>409.49</v>
    <v>406.56</v>
    <v>404.06</v>
    <v>402.79</v>
    <v>402.18</v>
    <v>411.65</v>
    <v>410.34</v>
    <v>407.54</v>
    <v>407.48</v>
    <v>407.72</v>
    <v>413.64</v>
    <v>415.5</v>
    <v>414.92</v>
    <v>402.65</v>
    <v>402.09</v>
    <v>409.14</v>
    <v>406.22</v>
    <v>404.52</v>
    <v>415.28</v>
    <v>415.1</v>
    <v>425.22</v>
    <v>416.42</v>
    <v>417.32</v>
    <v>421.41</v>
    <v>425.23</v>
    <v>429.37</v>
    <v>428.74</v>
    <v>422.86</v>
    <v>421.65</v>
    <v>421.43</v>
    <v>420.72</v>
    <v>424.57</v>
    <v>421.44</v>
    <v>420.45</v>
    <v>417.88</v>
    <v>425.52</v>
    <v>424.59</v>
    <v>426.28</v>
    <v>423.26</v>
    <v>427.93</v>
    <v>421.9</v>
    <v>413.64</v>
    <v>414.58</v>
    <v>411.84</v>
    <v>404.27</v>
    <v>399.12</v>
    <v>400.96</v>
    <v>407.57</v>
    <v>409.06</v>
    <v>399.04</v>
    <v>406.32</v>
    <v>402.25</v>
    <v>389.33</v>
    <v>394.94</v>
    <v>397.84</v>
    <v>406.66</v>
    <v>413.54</v>
    <v>409.34</v>
    <v>410.54</v>
    <v>412.32</v>
    <v>414.74</v>
    <v>413.72</v>
    <v>416.56</v>
    <v>423.08</v>
    <v>420.99</v>
    <v>420.21</v>
    <v>425.34</v>
    <v>429.04</v>
    <v>430.52</v>
    <v>427</v>
    <v>430.16</v>
    <v>430.32</v>
    <v>429.17</v>
    <v>414.67</v>
    <v>415.13</v>
    <v>413.52</v>
    <v>416.07</v>
    <v>424.01</v>
    <v>424.52</v>
    <v>423.85</v>
    <v>427.87</v>
    <v>432.68</v>
    <v>441.06</v>
    <v>441.58</v>
    <v>442.57</v>
    <v>448.37</v>
    <v>446.34</v>
    <v>445.7</v>
    <v>449.78</v>
    <v>447.67</v>
    <v>450.95</v>
    <v>452.16</v>
    <v>452.85</v>
    <v>446.95</v>
    <v>456.73</v>
    <v>459.28</v>
    <v>460.77</v>
    <v>467.56</v>
    <v>466.24</v>
    <v>459.54</v>
    <v>466.25</v>
    <v>454.7</v>
    <v>453.55</v>
    <v>453.96</v>
    <v>449.52</v>
    <v>443.52</v>
    <v>440.37</v>
    <v>437.11</v>
    <v>442.94</v>
    <v>444.85</v>
    <v>428.9</v>
    <v>418.4</v>
    <v>425.27</v>
    <v>426.73</v>
    <v>422.92</v>
    <v>418.35</v>
    <v>417.11</v>
    <v>408.49</v>
    <v>395.15</v>
    <v>399.61</v>
    <v>398.43</v>
    <v>402.69</v>
    <v>406.02</v>
    <v>406.81</v>
    <v>414.01</v>
    <v>416.86</v>
    <v>421.03</v>
    <v>418.47</v>
    <v>421.53</v>
    <v>424.8</v>
    <v>424.14</v>
    <v>415.55</v>
    <v>416.79</v>
    <v>413.49</v>
    <v>413.84</v>
    <v>410.6</v>
    <v>413.12</v>
    <v>417.14</v>
    <v>409.44</v>
    <v>408.9</v>
    <v>408.39</v>
    <v>401.7</v>
    <v>405.72</v>
    <v>414.2</v>
    <v>423.04</v>
    <v>427</v>
    <v>430.59</v>
    <v>431.34</v>
    <v>435.15</v>
    <v>430.81</v>
    <v>438.69</v>
    <v>435.27</v>
    <v>433.51</v>
    <v>429.17</v>
    <v>432.11</v>
    <v>431.31</v>
    <v>428.02</v>
    <v>430.3</v>
    <v>420.69</v>
    <v>417.13</v>
    <v>416.54</v>
    <v>416.06</v>
    <v>409.54</v>
    <v>414.71</v>
    <v>417.46</v>
    <v>415.84</v>
    <v>416.32</v>
    <v>419.14</v>
    <v>418.74</v>
    <v>416.12</v>
    <v>416.72</v>
    <v>418.16</v>
    <v>418.78</v>
    <v>427.51</v>
    <v>424.6</v>
    <v>424.73</v>
    <v>428.15</v>
    <v>426.59</v>
    <v>431.95</v>
    <v>432.53</v>
    <v>406.35</v>
    <v>410.37</v>
    <v>408.46</v>
    <v>411.46</v>
    <v>420.18</v>
    <v>425.43</v>
    <v>422.54</v>
    <v>418.01</v>
    <v>423.03</v>
    <v>425.2</v>
    <v>426.89</v>
    <v>415</v>
    <v>415.76</v>
    <v>417.79</v>
    <v>415.49</v>
    <v>412.87</v>
    <v>417</v>
    <v>418.79</v>
    <v>427.99</v>
    <v>422.99</v>
    <v>423.46</v>
    <v>430.98</v>
    <v>431.2</v>
    <v>437.42</v>
    <v>442.62</v>
    <v>443.57</v>
    <v>446.02</v>
    <v>443.33</v>
    <v>448.99</v>
    <v>449.56</v>
    <v>447.27</v>
    <v>451.59</v>
    <v>454.46</v>
    <v>437.39</v>
    <v>437.03</v>
    <v>436.6</v>
    <v>435.25</v>
    <v>439.33</v>
    <v>438.11</v>
    <v>430.53</v>
    <v>424.83</v>
    <v>421.5</v>
    <v>418.58</v>
    <v>423.35</v>
    <v>427.85</v>
    <v>422.37</v>
    <v>424.56</v>
    <v>418.95</v>
    <v>417.19</v>
    <v>415.67</v>
    <v>426.31</v>
    <v>424.58</v>
    <v>429.03</v>
    <v>428.5</v>
    <v>446.2</v>
    <v>446.71</v>
    <v>444.06</v>
    <v>434.56</v>
    <v>447.2</v>
    <v>442.33</v>
    <v>414.99</v>
    <v>415.06</v>
    <v>410.92</v>
    <v>412.37</v>
    <v>413.29</v>
    <v>415.82</v>
    <v>409.75</v>
    <v>412.22</v>
    <v>411.44</v>
    <v>409.04</v>
    <v>410.54</v>
    <v>408.43</v>
    <v>409.64</v>
    <v>414.77</v>
    <v>416.13</v>
    <v>408.21</v>
    <v>404</v>
    <v>397.9</v>
    <v>399.73</v>
    <v>392.53</v>
    <v>396.99</v>
    <v>388.49</v>
    <v>388.61</v>
    <v>401.02</v>
    <v>396.89</v>
    <v>393.31</v>
    <v>380.16</v>
    <v>380.45</v>
    <v>383.27</v>
    <v>378.77</v>
    <v>388.56</v>
    <v>388.7</v>
    <v>383.52</v>
    <v>387.82</v>
    <v>386.84</v>
    <v>391.26</v>
    <v>393.08</v>
    <v>395.16</v>
    <v>389.97</v>
    <v>390.58</v>
    <v>378.8</v>
    <v>375.39</v>
    <v>382.19</v>
    <v>382.14</v>
    <v>373.11</v>
    <v>359.84</v>
    <v>357.86</v>
    <v>354.56</v>
    <v>390.49</v>
    <v>381.35</v>
    <v>388.45</v>
    <v>387.81</v>
    <v>385.73</v>
    <v>371.61</v>
    <v>367.78</v>
    <v>359.12</v>
    <v>366.82</v>
    <v>374.39</v>
    <v>387.3</v>
    <v>391.85</v>
    <v>391.16</v>
    <v>394.04</v>
    <v>395.26</v>
    <v>425.4</v>
    <v>435.28</v>
    <v>436.17</v>
    <v>433.31</v>
    <v>433.35</v>
    <v>438.17</v>
    <v>438.73</v>
    <v>449.26</v>
    <v>449.14</v>
    <v>452.94</v>
    <v>453.13</v>
    <v>454.27</v>
    <v>458.87</v>
    <v>458.17</v>
    <v>452.57</v>
    <v>454.86</v>
    <v>450.18</v>
    <v>460.69</v>
    <v>457.36</v>
    <v>458.68</v>
    <v>460.36</v>
    <v>461.97</v>
    <v>462.97</v>
    <v>463.87</v>
    <v>467.68</v>
    <v>470.38</v>
    <v>472.75</v>
    <v>470.92</v>
    <v>472.62</v>
    <v>478.87</v>
    <v>474.96</v>
    <v>479.14</v>
    <v>478.04</v>
    <v>480.24</v>
    <v>477.4</v>
    <v>486</v>
    <v>490.11</v>
    <v>492.27</v>
    <v>497.45</v>
    <v>495.94</v>
    <v>497.41</v>
    <v>492.05</v>
    <v>491.09</v>
    <v>498.84</v>
    <v>497.72</v>
    <v>496.62</v>
    <v>503.51</v>
    <v>501.48</v>
    <v>503.32</v>
    <v>503.02</v>
    <v>505.82</v>
    <v>505.62</v>
    <v>511.7</v>
    <v>510.05</v>
    <v>510.06</v>
    <v>505.27</v>
    <v>505.87</v>
    <v>510.88</v>
    <v>513.71</v>
    <v>512.5</v>
    <v>512.57000000000005</v>
    <v>513.24</v>
    <v>533.5</v>
    <v>524.11</v>
    <v>535.64</v>
    <v>527.75</v>
    <v>524.94000000000005</v>
    <v>520.84</v>
    <v>522.04</v>
    <v>521.77</v>
    <v>529.24</v>
    <v>520.58000000000004</v>
    <v>522.48</v>
    <v>520.16999999999996</v>
    <v>517.1</v>
    <v>509.77</v>
    <v>505.72</v>
    <v>504.24</v>
    <v>507.23</v>
    <v>504.26</v>
    <v>502.04</v>
    <v>506.74</v>
    <v>509.64</v>
    <v>506.69</v>
    <v>505.12</v>
    <v>505.35</v>
    <v>507.97</v>
    <v>495</v>
    <v>498.2</v>
    <v>498.41</v>
    <v>500.37</v>
    <v>501.01</v>
    <v>509.9</v>
    <v>515.36</v>
    <v>509.04</v>
    <v>510.02</v>
    <v>508.45</v>
    <v>517.92999999999995</v>
    <v>514.45000000000005</v>
    <v>509.23</v>
    <v>510.15</v>
    <v>507.03</v>
    <v>511.46</v>
    <v>514.6</v>
    <v>517.95000000000005</v>
    <v>519.71</v>
    <v>515.74</v>
    <v>517.35</v>
    <v>528.57000000000005</v>
    <v>523.98</v>
    <v>524.85</v>
    <v>522.4</v>
    <v>510.96</v>
    <v>514.04999999999995</v>
    <v>513.57000000000005</v>
    <v>513.42999999999995</v>
    <v>511.61</v>
    <v>513.58000000000004</v>
    <v>516.79</v>
    <v>517.66</v>
    <v>520.54</v>
    <v>520.55999999999995</v>
    <v>523.61</v>
    <v>531.52</v>
    <v>542.07000000000005</v>
    <v>541.54999999999995</v>
    <v>525.76</v>
    <v>517.80999999999995</v>
    <v>517.03</v>
    <v>514.33000000000004</v>
    <v>507.16</v>
    <v>497.1</v>
    <v>496.82</v>
    <v>506</v>
    <v>508.68</v>
    <v>511.14</v>
    <v>503.29</v>
    <v>510.18</v>
    <v>507.49</v>
    <v>493.79</v>
    <v>487.12</v>
    <v>478.43</v>
    <v>472.12</v>
    <v>474</v>
    <v>476.99</v>
    <v>485.5</v>
    <v>492.01</v>
    <v>486.74</v>
    <v>490</v>
    <v>477.73</v>
    <v>480.84</v>
    <v>483.16</v>
    <v>491.02</v>
    <v>492.02</v>
    <v>478.56</v>
    <v>483.47</v>
    <v>478.53</v>
    <v>474.82</v>
    <v>476.39</v>
    <v>476.12</v>
    <v>483.98</v>
    <v>485.92</v>
    <v>484.92</v>
    <v>486.85</v>
    <v>488.02</v>
    <v>487.71</v>
    <v>487.1</v>
    <v>487.48</v>
    <v>483.62</v>
  </a>
  <a r="1" c="11">
    <v t="i">0</v>
    <v t="i">2</v>
    <v t="i">5</v>
    <v t="i">6</v>
    <v t="i">7</v>
    <v t="i">8</v>
    <v t="i">9</v>
    <v t="i">12</v>
    <v t="i">13</v>
    <v t="i">14</v>
    <v t="i">15</v>
  </a>
  <a r="1" c="11">
    <v>483.62</v>
    <v>472.94</v>
    <v>472.85</v>
    <v>478.51</v>
    <v>483.47</v>
    <v>478.11</v>
    <v>479.28</v>
    <v>477.18</v>
    <v>470.67</v>
    <v>459.38</v>
    <v>456.66</v>
  </a>
</arrayData>
</file>

<file path=xl/richData/rdrichvalue.xml><?xml version="1.0" encoding="utf-8"?>
<rvData xmlns="http://schemas.microsoft.com/office/spreadsheetml/2017/richdata" count="1020">
  <rv s="0">
    <fb>45293</fb>
    <v>0</v>
  </rv>
  <rv s="0">
    <fb>370.87</fb>
    <v>1</v>
  </rv>
  <rv s="0">
    <fb>46022</fb>
    <v>0</v>
  </rv>
  <rv s="0">
    <fb>483.62</fb>
    <v>1</v>
  </rv>
  <rv s="0">
    <fb>45294</fb>
    <v>0</v>
  </rv>
  <rv s="0">
    <fb>370.6</fb>
    <v>1</v>
  </rv>
  <rv s="0">
    <fb>46024</fb>
    <v>0</v>
  </rv>
  <rv s="0">
    <fb>472.94</fb>
    <v>1</v>
  </rv>
  <rv s="0">
    <fb>45295</fb>
    <v>0</v>
  </rv>
  <rv s="0">
    <fb>367.94</fb>
    <v>1</v>
  </rv>
  <rv s="0">
    <fb>46027</fb>
    <v>0</v>
  </rv>
  <rv s="0">
    <fb>472.85</fb>
    <v>1</v>
  </rv>
  <rv s="0">
    <fb>45296</fb>
    <v>0</v>
  </rv>
  <rv s="0">
    <fb>367.75</fb>
    <v>1</v>
  </rv>
  <rv s="0">
    <fb>46028</fb>
    <v>0</v>
  </rv>
  <rv s="0">
    <fb>478.51</fb>
    <v>1</v>
  </rv>
  <rv s="0">
    <fb>45299</fb>
    <v>0</v>
  </rv>
  <rv s="0">
    <fb>374.69</fb>
    <v>1</v>
  </rv>
  <rv s="0">
    <fb>46029</fb>
    <v>0</v>
  </rv>
  <rv s="0">
    <fb>483.47</fb>
    <v>1</v>
  </rv>
  <rv s="0">
    <fb>45300</fb>
    <v>0</v>
  </rv>
  <rv s="0">
    <fb>375.79</fb>
    <v>1</v>
  </rv>
  <rv s="0">
    <fb>46030</fb>
    <v>0</v>
  </rv>
  <rv s="0">
    <fb>478.11</fb>
    <v>1</v>
  </rv>
  <rv s="0">
    <fb>45301</fb>
    <v>0</v>
  </rv>
  <rv s="0">
    <fb>382.77</fb>
    <v>1</v>
  </rv>
  <rv s="0">
    <fb>46031</fb>
    <v>0</v>
  </rv>
  <rv s="0">
    <fb>479.28</fb>
    <v>1</v>
  </rv>
  <rv s="0">
    <fb>45302</fb>
    <v>0</v>
  </rv>
  <rv s="0">
    <fb>384.63</fb>
    <v>1</v>
  </rv>
  <rv s="0">
    <fb>46034</fb>
    <v>0</v>
  </rv>
  <rv s="0">
    <fb>477.18</fb>
    <v>1</v>
  </rv>
  <rv s="0">
    <fb>45303</fb>
    <v>0</v>
  </rv>
  <rv s="0">
    <fb>388.47</fb>
    <v>1</v>
  </rv>
  <rv s="0">
    <fb>46035</fb>
    <v>0</v>
  </rv>
  <rv s="0">
    <fb>470.67</fb>
    <v>1</v>
  </rv>
  <rv s="0">
    <fb>45307</fb>
    <v>0</v>
  </rv>
  <rv s="0">
    <fb>390.27</fb>
    <v>1</v>
  </rv>
  <rv s="0">
    <fb>46036</fb>
    <v>0</v>
  </rv>
  <rv s="0">
    <fb>459.38</fb>
    <v>1</v>
  </rv>
  <rv s="0">
    <fb>45308</fb>
    <v>0</v>
  </rv>
  <rv s="0">
    <fb>389.47</fb>
    <v>1</v>
  </rv>
  <rv s="0">
    <fb>46037</fb>
    <v>0</v>
  </rv>
  <rv s="0">
    <fb>456.66</fb>
    <v>1</v>
  </rv>
  <rv s="0">
    <fb>45309</fb>
    <v>0</v>
  </rv>
  <rv s="0">
    <fb>393.87</fb>
    <v>1</v>
  </rv>
  <rv s="0">
    <fb>45310</fb>
    <v>0</v>
  </rv>
  <rv s="0">
    <fb>398.67</fb>
    <v>1</v>
  </rv>
  <rv s="0">
    <fb>45313</fb>
    <v>0</v>
  </rv>
  <rv s="0">
    <fb>396.51</fb>
    <v>1</v>
  </rv>
  <rv s="0">
    <fb>45314</fb>
    <v>0</v>
  </rv>
  <rv s="0">
    <fb>398.9</fb>
    <v>1</v>
  </rv>
  <rv s="0">
    <fb>45315</fb>
    <v>0</v>
  </rv>
  <rv s="0">
    <fb>402.56</fb>
    <v>1</v>
  </rv>
  <rv s="0">
    <fb>45316</fb>
    <v>0</v>
  </rv>
  <rv s="0">
    <fb>404.87</fb>
    <v>1</v>
  </rv>
  <rv s="0">
    <fb>45317</fb>
    <v>0</v>
  </rv>
  <rv s="0">
    <fb>403.93</fb>
    <v>1</v>
  </rv>
  <rv s="0">
    <fb>45320</fb>
    <v>0</v>
  </rv>
  <rv s="0">
    <fb>409.72</fb>
    <v>1</v>
  </rv>
  <rv s="0">
    <fb>45321</fb>
    <v>0</v>
  </rv>
  <rv s="0">
    <fb>408.59</fb>
    <v>1</v>
  </rv>
  <rv s="0">
    <fb>45322</fb>
    <v>0</v>
  </rv>
  <rv s="0">
    <fb>397.58</fb>
    <v>1</v>
  </rv>
  <rv s="0">
    <fb>45323</fb>
    <v>0</v>
  </rv>
  <rv s="0">
    <fb>403.78</fb>
    <v>1</v>
  </rv>
  <rv s="0">
    <fb>45324</fb>
    <v>0</v>
  </rv>
  <rv s="0">
    <fb>411.22</fb>
    <v>1</v>
  </rv>
  <rv s="0">
    <fb>45327</fb>
    <v>0</v>
  </rv>
  <rv s="0">
    <fb>405.65</fb>
    <v>1</v>
  </rv>
  <rv s="0">
    <fb>45328</fb>
    <v>0</v>
  </rv>
  <rv s="0">
    <fb>405.49</fb>
    <v>1</v>
  </rv>
  <rv s="0">
    <fb>45329</fb>
    <v>0</v>
  </rv>
  <rv s="0">
    <fb>414.05</fb>
    <v>1</v>
  </rv>
  <rv s="0">
    <fb>45330</fb>
    <v>0</v>
  </rv>
  <rv s="0">
    <fb>414.11</fb>
    <v>1</v>
  </rv>
  <rv s="0">
    <fb>45331</fb>
    <v>0</v>
  </rv>
  <rv s="0">
    <fb>420.55</fb>
    <v>1</v>
  </rv>
  <rv s="0">
    <fb>45334</fb>
    <v>0</v>
  </rv>
  <rv s="0">
    <fb>415.26</fb>
    <v>1</v>
  </rv>
  <rv s="0">
    <fb>45335</fb>
    <v>0</v>
  </rv>
  <rv s="0">
    <fb>406.32</fb>
    <v>1</v>
  </rv>
  <rv s="0">
    <fb>45336</fb>
    <v>0</v>
  </rv>
  <rv s="0">
    <fb>409.49</fb>
    <v>1</v>
  </rv>
  <rv s="0">
    <fb>45337</fb>
    <v>0</v>
  </rv>
  <rv s="0">
    <fb>406.56</fb>
    <v>1</v>
  </rv>
  <rv s="0">
    <fb>45338</fb>
    <v>0</v>
  </rv>
  <rv s="0">
    <fb>404.06</fb>
    <v>1</v>
  </rv>
  <rv s="0">
    <fb>45342</fb>
    <v>0</v>
  </rv>
  <rv s="0">
    <fb>402.79</fb>
    <v>1</v>
  </rv>
  <rv s="0">
    <fb>45343</fb>
    <v>0</v>
  </rv>
  <rv s="0">
    <fb>402.18</fb>
    <v>1</v>
  </rv>
  <rv s="0">
    <fb>45344</fb>
    <v>0</v>
  </rv>
  <rv s="0">
    <fb>411.65</fb>
    <v>1</v>
  </rv>
  <rv s="0">
    <fb>45345</fb>
    <v>0</v>
  </rv>
  <rv s="0">
    <fb>410.34</fb>
    <v>1</v>
  </rv>
  <rv s="0">
    <fb>45348</fb>
    <v>0</v>
  </rv>
  <rv s="0">
    <fb>407.54</fb>
    <v>1</v>
  </rv>
  <rv s="0">
    <fb>45349</fb>
    <v>0</v>
  </rv>
  <rv s="0">
    <fb>407.48</fb>
    <v>1</v>
  </rv>
  <rv s="0">
    <fb>45350</fb>
    <v>0</v>
  </rv>
  <rv s="0">
    <fb>407.72</fb>
    <v>1</v>
  </rv>
  <rv s="0">
    <fb>45351</fb>
    <v>0</v>
  </rv>
  <rv s="0">
    <fb>413.64</fb>
    <v>1</v>
  </rv>
  <rv s="0">
    <fb>45352</fb>
    <v>0</v>
  </rv>
  <rv s="0">
    <fb>415.5</fb>
    <v>1</v>
  </rv>
  <rv s="0">
    <fb>45355</fb>
    <v>0</v>
  </rv>
  <rv s="0">
    <fb>414.92</fb>
    <v>1</v>
  </rv>
  <rv s="0">
    <fb>45356</fb>
    <v>0</v>
  </rv>
  <rv s="0">
    <fb>402.65</fb>
    <v>1</v>
  </rv>
  <rv s="0">
    <fb>45357</fb>
    <v>0</v>
  </rv>
  <rv s="0">
    <fb>402.09</fb>
    <v>1</v>
  </rv>
  <rv s="0">
    <fb>45358</fb>
    <v>0</v>
  </rv>
  <rv s="0">
    <fb>409.14</fb>
    <v>1</v>
  </rv>
  <rv s="0">
    <fb>45359</fb>
    <v>0</v>
  </rv>
  <rv s="0">
    <fb>406.22</fb>
    <v>1</v>
  </rv>
  <rv s="0">
    <fb>45362</fb>
    <v>0</v>
  </rv>
  <rv s="0">
    <fb>404.52</fb>
    <v>1</v>
  </rv>
  <rv s="0">
    <fb>45363</fb>
    <v>0</v>
  </rv>
  <rv s="0">
    <fb>415.28</fb>
    <v>1</v>
  </rv>
  <rv s="0">
    <fb>45364</fb>
    <v>0</v>
  </rv>
  <rv s="0">
    <fb>415.1</fb>
    <v>1</v>
  </rv>
  <rv s="0">
    <fb>45365</fb>
    <v>0</v>
  </rv>
  <rv s="0">
    <fb>425.22</fb>
    <v>1</v>
  </rv>
  <rv s="0">
    <fb>45366</fb>
    <v>0</v>
  </rv>
  <rv s="0">
    <fb>416.42</fb>
    <v>1</v>
  </rv>
  <rv s="0">
    <fb>45369</fb>
    <v>0</v>
  </rv>
  <rv s="0">
    <fb>417.32</fb>
    <v>1</v>
  </rv>
  <rv s="0">
    <fb>45370</fb>
    <v>0</v>
  </rv>
  <rv s="0">
    <fb>421.41</fb>
    <v>1</v>
  </rv>
  <rv s="0">
    <fb>45371</fb>
    <v>0</v>
  </rv>
  <rv s="0">
    <fb>425.23</fb>
    <v>1</v>
  </rv>
  <rv s="0">
    <fb>45372</fb>
    <v>0</v>
  </rv>
  <rv s="0">
    <fb>429.37</fb>
    <v>1</v>
  </rv>
  <rv s="0">
    <fb>45373</fb>
    <v>0</v>
  </rv>
  <rv s="0">
    <fb>428.74</fb>
    <v>1</v>
  </rv>
  <rv s="0">
    <fb>45376</fb>
    <v>0</v>
  </rv>
  <rv s="0">
    <fb>422.86</fb>
    <v>1</v>
  </rv>
  <rv s="0">
    <fb>45377</fb>
    <v>0</v>
  </rv>
  <rv s="0">
    <fb>421.65</fb>
    <v>1</v>
  </rv>
  <rv s="0">
    <fb>45378</fb>
    <v>0</v>
  </rv>
  <rv s="0">
    <fb>421.43</fb>
    <v>1</v>
  </rv>
  <rv s="0">
    <fb>45379</fb>
    <v>0</v>
  </rv>
  <rv s="0">
    <fb>420.72</fb>
    <v>1</v>
  </rv>
  <rv s="0">
    <fb>45383</fb>
    <v>0</v>
  </rv>
  <rv s="0">
    <fb>424.57</fb>
    <v>1</v>
  </rv>
  <rv s="0">
    <fb>45384</fb>
    <v>0</v>
  </rv>
  <rv s="0">
    <fb>421.44</fb>
    <v>1</v>
  </rv>
  <rv s="0">
    <fb>45385</fb>
    <v>0</v>
  </rv>
  <rv s="0">
    <fb>420.45</fb>
    <v>1</v>
  </rv>
  <rv s="0">
    <fb>45386</fb>
    <v>0</v>
  </rv>
  <rv s="0">
    <fb>417.88</fb>
    <v>1</v>
  </rv>
  <rv s="0">
    <fb>45387</fb>
    <v>0</v>
  </rv>
  <rv s="0">
    <fb>425.52</fb>
    <v>1</v>
  </rv>
  <rv s="0">
    <fb>45390</fb>
    <v>0</v>
  </rv>
  <rv s="0">
    <fb>424.59</fb>
    <v>1</v>
  </rv>
  <rv s="0">
    <fb>45391</fb>
    <v>0</v>
  </rv>
  <rv s="0">
    <fb>426.28</fb>
    <v>1</v>
  </rv>
  <rv s="0">
    <fb>45392</fb>
    <v>0</v>
  </rv>
  <rv s="0">
    <fb>423.26</fb>
    <v>1</v>
  </rv>
  <rv s="0">
    <fb>45393</fb>
    <v>0</v>
  </rv>
  <rv s="0">
    <fb>427.93</fb>
    <v>1</v>
  </rv>
  <rv s="0">
    <fb>45394</fb>
    <v>0</v>
  </rv>
  <rv s="0">
    <fb>421.9</fb>
    <v>1</v>
  </rv>
  <rv s="0">
    <fb>45397</fb>
    <v>0</v>
  </rv>
  <rv s="0">
    <fb>45398</fb>
    <v>0</v>
  </rv>
  <rv s="0">
    <fb>414.58</fb>
    <v>1</v>
  </rv>
  <rv s="0">
    <fb>45399</fb>
    <v>0</v>
  </rv>
  <rv s="0">
    <fb>411.84</fb>
    <v>1</v>
  </rv>
  <rv s="0">
    <fb>45400</fb>
    <v>0</v>
  </rv>
  <rv s="0">
    <fb>404.27</fb>
    <v>1</v>
  </rv>
  <rv s="0">
    <fb>45401</fb>
    <v>0</v>
  </rv>
  <rv s="0">
    <fb>399.12</fb>
    <v>1</v>
  </rv>
  <rv s="0">
    <fb>45404</fb>
    <v>0</v>
  </rv>
  <rv s="0">
    <fb>400.96</fb>
    <v>1</v>
  </rv>
  <rv s="0">
    <fb>45405</fb>
    <v>0</v>
  </rv>
  <rv s="0">
    <fb>407.57</fb>
    <v>1</v>
  </rv>
  <rv s="0">
    <fb>45406</fb>
    <v>0</v>
  </rv>
  <rv s="0">
    <fb>409.06</fb>
    <v>1</v>
  </rv>
  <rv s="0">
    <fb>45407</fb>
    <v>0</v>
  </rv>
  <rv s="0">
    <fb>399.04</fb>
    <v>1</v>
  </rv>
  <rv s="0">
    <fb>45408</fb>
    <v>0</v>
  </rv>
  <rv s="0">
    <fb>45411</fb>
    <v>0</v>
  </rv>
  <rv s="0">
    <fb>402.25</fb>
    <v>1</v>
  </rv>
  <rv s="0">
    <fb>45412</fb>
    <v>0</v>
  </rv>
  <rv s="0">
    <fb>389.33</fb>
    <v>1</v>
  </rv>
  <rv s="0">
    <fb>45413</fb>
    <v>0</v>
  </rv>
  <rv s="0">
    <fb>394.94</fb>
    <v>1</v>
  </rv>
  <rv s="0">
    <fb>45414</fb>
    <v>0</v>
  </rv>
  <rv s="0">
    <fb>397.84</fb>
    <v>1</v>
  </rv>
  <rv s="0">
    <fb>45415</fb>
    <v>0</v>
  </rv>
  <rv s="0">
    <fb>406.66</fb>
    <v>1</v>
  </rv>
  <rv s="0">
    <fb>45418</fb>
    <v>0</v>
  </rv>
  <rv s="0">
    <fb>413.54</fb>
    <v>1</v>
  </rv>
  <rv s="0">
    <fb>45419</fb>
    <v>0</v>
  </rv>
  <rv s="0">
    <fb>409.34</fb>
    <v>1</v>
  </rv>
  <rv s="0">
    <fb>45420</fb>
    <v>0</v>
  </rv>
  <rv s="0">
    <fb>410.54</fb>
    <v>1</v>
  </rv>
  <rv s="0">
    <fb>45421</fb>
    <v>0</v>
  </rv>
  <rv s="0">
    <fb>412.32</fb>
    <v>1</v>
  </rv>
  <rv s="0">
    <fb>45422</fb>
    <v>0</v>
  </rv>
  <rv s="0">
    <fb>414.74</fb>
    <v>1</v>
  </rv>
  <rv s="0">
    <fb>45425</fb>
    <v>0</v>
  </rv>
  <rv s="0">
    <fb>413.72</fb>
    <v>1</v>
  </rv>
  <rv s="0">
    <fb>45426</fb>
    <v>0</v>
  </rv>
  <rv s="0">
    <fb>416.56</fb>
    <v>1</v>
  </rv>
  <rv s="0">
    <fb>45427</fb>
    <v>0</v>
  </rv>
  <rv s="0">
    <fb>423.08</fb>
    <v>1</v>
  </rv>
  <rv s="0">
    <fb>45428</fb>
    <v>0</v>
  </rv>
  <rv s="0">
    <fb>420.99</fb>
    <v>1</v>
  </rv>
  <rv s="0">
    <fb>45429</fb>
    <v>0</v>
  </rv>
  <rv s="0">
    <fb>420.21</fb>
    <v>1</v>
  </rv>
  <rv s="0">
    <fb>45432</fb>
    <v>0</v>
  </rv>
  <rv s="0">
    <fb>425.34</fb>
    <v>1</v>
  </rv>
  <rv s="0">
    <fb>45433</fb>
    <v>0</v>
  </rv>
  <rv s="0">
    <fb>429.04</fb>
    <v>1</v>
  </rv>
  <rv s="0">
    <fb>45434</fb>
    <v>0</v>
  </rv>
  <rv s="0">
    <fb>430.52</fb>
    <v>1</v>
  </rv>
  <rv s="0">
    <fb>45435</fb>
    <v>0</v>
  </rv>
  <rv s="0">
    <fb>427</fb>
    <v>1</v>
  </rv>
  <rv s="0">
    <fb>45436</fb>
    <v>0</v>
  </rv>
  <rv s="0">
    <fb>430.16</fb>
    <v>1</v>
  </rv>
  <rv s="0">
    <fb>45440</fb>
    <v>0</v>
  </rv>
  <rv s="0">
    <fb>430.32</fb>
    <v>1</v>
  </rv>
  <rv s="0">
    <fb>45441</fb>
    <v>0</v>
  </rv>
  <rv s="0">
    <fb>429.17</fb>
    <v>1</v>
  </rv>
  <rv s="0">
    <fb>45442</fb>
    <v>0</v>
  </rv>
  <rv s="0">
    <fb>414.67</fb>
    <v>1</v>
  </rv>
  <rv s="0">
    <fb>45443</fb>
    <v>0</v>
  </rv>
  <rv s="0">
    <fb>415.13</fb>
    <v>1</v>
  </rv>
  <rv s="0">
    <fb>45446</fb>
    <v>0</v>
  </rv>
  <rv s="0">
    <fb>413.52</fb>
    <v>1</v>
  </rv>
  <rv s="0">
    <fb>45447</fb>
    <v>0</v>
  </rv>
  <rv s="0">
    <fb>416.07</fb>
    <v>1</v>
  </rv>
  <rv s="0">
    <fb>45448</fb>
    <v>0</v>
  </rv>
  <rv s="0">
    <fb>424.01</fb>
    <v>1</v>
  </rv>
  <rv s="0">
    <fb>45449</fb>
    <v>0</v>
  </rv>
  <rv s="0">
    <fb>424.52</fb>
    <v>1</v>
  </rv>
  <rv s="0">
    <fb>45450</fb>
    <v>0</v>
  </rv>
  <rv s="0">
    <fb>423.85</fb>
    <v>1</v>
  </rv>
  <rv s="0">
    <fb>45453</fb>
    <v>0</v>
  </rv>
  <rv s="0">
    <fb>427.87</fb>
    <v>1</v>
  </rv>
  <rv s="0">
    <fb>45454</fb>
    <v>0</v>
  </rv>
  <rv s="0">
    <fb>432.68</fb>
    <v>1</v>
  </rv>
  <rv s="0">
    <fb>45455</fb>
    <v>0</v>
  </rv>
  <rv s="0">
    <fb>441.06</fb>
    <v>1</v>
  </rv>
  <rv s="0">
    <fb>45456</fb>
    <v>0</v>
  </rv>
  <rv s="0">
    <fb>441.58</fb>
    <v>1</v>
  </rv>
  <rv s="0">
    <fb>45457</fb>
    <v>0</v>
  </rv>
  <rv s="0">
    <fb>442.57</fb>
    <v>1</v>
  </rv>
  <rv s="0">
    <fb>45460</fb>
    <v>0</v>
  </rv>
  <rv s="0">
    <fb>448.37</fb>
    <v>1</v>
  </rv>
  <rv s="0">
    <fb>45461</fb>
    <v>0</v>
  </rv>
  <rv s="0">
    <fb>446.34</fb>
    <v>1</v>
  </rv>
  <rv s="0">
    <fb>45463</fb>
    <v>0</v>
  </rv>
  <rv s="0">
    <fb>445.7</fb>
    <v>1</v>
  </rv>
  <rv s="0">
    <fb>45464</fb>
    <v>0</v>
  </rv>
  <rv s="0">
    <fb>449.78</fb>
    <v>1</v>
  </rv>
  <rv s="0">
    <fb>45467</fb>
    <v>0</v>
  </rv>
  <rv s="0">
    <fb>447.67</fb>
    <v>1</v>
  </rv>
  <rv s="0">
    <fb>45468</fb>
    <v>0</v>
  </rv>
  <rv s="0">
    <fb>450.95</fb>
    <v>1</v>
  </rv>
  <rv s="0">
    <fb>45469</fb>
    <v>0</v>
  </rv>
  <rv s="0">
    <fb>452.16</fb>
    <v>1</v>
  </rv>
  <rv s="0">
    <fb>45470</fb>
    <v>0</v>
  </rv>
  <rv s="0">
    <fb>452.85</fb>
    <v>1</v>
  </rv>
  <rv s="0">
    <fb>45471</fb>
    <v>0</v>
  </rv>
  <rv s="0">
    <fb>446.95</fb>
    <v>1</v>
  </rv>
  <rv s="0">
    <fb>45474</fb>
    <v>0</v>
  </rv>
  <rv s="0">
    <fb>456.73</fb>
    <v>1</v>
  </rv>
  <rv s="0">
    <fb>45475</fb>
    <v>0</v>
  </rv>
  <rv s="0">
    <fb>459.28</fb>
    <v>1</v>
  </rv>
  <rv s="0">
    <fb>45476</fb>
    <v>0</v>
  </rv>
  <rv s="0">
    <fb>460.77</fb>
    <v>1</v>
  </rv>
  <rv s="0">
    <fb>45478</fb>
    <v>0</v>
  </rv>
  <rv s="0">
    <fb>467.56</fb>
    <v>1</v>
  </rv>
  <rv s="0">
    <fb>45481</fb>
    <v>0</v>
  </rv>
  <rv s="0">
    <fb>466.24</fb>
    <v>1</v>
  </rv>
  <rv s="0">
    <fb>45482</fb>
    <v>0</v>
  </rv>
  <rv s="0">
    <fb>459.54</fb>
    <v>1</v>
  </rv>
  <rv s="0">
    <fb>45483</fb>
    <v>0</v>
  </rv>
  <rv s="0">
    <fb>466.25</fb>
    <v>1</v>
  </rv>
  <rv s="0">
    <fb>45484</fb>
    <v>0</v>
  </rv>
  <rv s="0">
    <fb>454.7</fb>
    <v>1</v>
  </rv>
  <rv s="0">
    <fb>45485</fb>
    <v>0</v>
  </rv>
  <rv s="0">
    <fb>453.55</fb>
    <v>1</v>
  </rv>
  <rv s="0">
    <fb>45488</fb>
    <v>0</v>
  </rv>
  <rv s="0">
    <fb>453.96</fb>
    <v>1</v>
  </rv>
  <rv s="0">
    <fb>45489</fb>
    <v>0</v>
  </rv>
  <rv s="0">
    <fb>449.52</fb>
    <v>1</v>
  </rv>
  <rv s="0">
    <fb>45490</fb>
    <v>0</v>
  </rv>
  <rv s="0">
    <fb>443.52</fb>
    <v>1</v>
  </rv>
  <rv s="0">
    <fb>45491</fb>
    <v>0</v>
  </rv>
  <rv s="0">
    <fb>440.37</fb>
    <v>1</v>
  </rv>
  <rv s="0">
    <fb>45492</fb>
    <v>0</v>
  </rv>
  <rv s="0">
    <fb>437.11</fb>
    <v>1</v>
  </rv>
  <rv s="0">
    <fb>45495</fb>
    <v>0</v>
  </rv>
  <rv s="0">
    <fb>442.94</fb>
    <v>1</v>
  </rv>
  <rv s="0">
    <fb>45496</fb>
    <v>0</v>
  </rv>
  <rv s="0">
    <fb>444.85</fb>
    <v>1</v>
  </rv>
  <rv s="0">
    <fb>45497</fb>
    <v>0</v>
  </rv>
  <rv s="0">
    <fb>428.9</fb>
    <v>1</v>
  </rv>
  <rv s="0">
    <fb>45498</fb>
    <v>0</v>
  </rv>
  <rv s="0">
    <fb>418.4</fb>
    <v>1</v>
  </rv>
  <rv s="0">
    <fb>45499</fb>
    <v>0</v>
  </rv>
  <rv s="0">
    <fb>425.27</fb>
    <v>1</v>
  </rv>
  <rv s="0">
    <fb>45502</fb>
    <v>0</v>
  </rv>
  <rv s="0">
    <fb>426.73</fb>
    <v>1</v>
  </rv>
  <rv s="0">
    <fb>45503</fb>
    <v>0</v>
  </rv>
  <rv s="0">
    <fb>422.92</fb>
    <v>1</v>
  </rv>
  <rv s="0">
    <fb>45504</fb>
    <v>0</v>
  </rv>
  <rv s="0">
    <fb>418.35</fb>
    <v>1</v>
  </rv>
  <rv s="0">
    <fb>45505</fb>
    <v>0</v>
  </rv>
  <rv s="0">
    <fb>417.11</fb>
    <v>1</v>
  </rv>
  <rv s="0">
    <fb>45506</fb>
    <v>0</v>
  </rv>
  <rv s="0">
    <fb>408.49</fb>
    <v>1</v>
  </rv>
  <rv s="0">
    <fb>45509</fb>
    <v>0</v>
  </rv>
  <rv s="0">
    <fb>395.15</fb>
    <v>1</v>
  </rv>
  <rv s="0">
    <fb>45510</fb>
    <v>0</v>
  </rv>
  <rv s="0">
    <fb>399.61</fb>
    <v>1</v>
  </rv>
  <rv s="0">
    <fb>45511</fb>
    <v>0</v>
  </rv>
  <rv s="0">
    <fb>398.43</fb>
    <v>1</v>
  </rv>
  <rv s="0">
    <fb>45512</fb>
    <v>0</v>
  </rv>
  <rv s="0">
    <fb>402.69</fb>
    <v>1</v>
  </rv>
  <rv s="0">
    <fb>45513</fb>
    <v>0</v>
  </rv>
  <rv s="0">
    <fb>406.02</fb>
    <v>1</v>
  </rv>
  <rv s="0">
    <fb>45516</fb>
    <v>0</v>
  </rv>
  <rv s="0">
    <fb>406.81</fb>
    <v>1</v>
  </rv>
  <rv s="0">
    <fb>45517</fb>
    <v>0</v>
  </rv>
  <rv s="0">
    <fb>414.01</fb>
    <v>1</v>
  </rv>
  <rv s="0">
    <fb>45518</fb>
    <v>0</v>
  </rv>
  <rv s="0">
    <fb>416.86</fb>
    <v>1</v>
  </rv>
  <rv s="0">
    <fb>45519</fb>
    <v>0</v>
  </rv>
  <rv s="0">
    <fb>421.03</fb>
    <v>1</v>
  </rv>
  <rv s="0">
    <fb>45520</fb>
    <v>0</v>
  </rv>
  <rv s="0">
    <fb>418.47</fb>
    <v>1</v>
  </rv>
  <rv s="0">
    <fb>45523</fb>
    <v>0</v>
  </rv>
  <rv s="0">
    <fb>421.53</fb>
    <v>1</v>
  </rv>
  <rv s="0">
    <fb>45524</fb>
    <v>0</v>
  </rv>
  <rv s="0">
    <fb>424.8</fb>
    <v>1</v>
  </rv>
  <rv s="0">
    <fb>45525</fb>
    <v>0</v>
  </rv>
  <rv s="0">
    <fb>424.14</fb>
    <v>1</v>
  </rv>
  <rv s="0">
    <fb>45526</fb>
    <v>0</v>
  </rv>
  <rv s="0">
    <fb>415.55</fb>
    <v>1</v>
  </rv>
  <rv s="0">
    <fb>45527</fb>
    <v>0</v>
  </rv>
  <rv s="0">
    <fb>416.79</fb>
    <v>1</v>
  </rv>
  <rv s="0">
    <fb>45530</fb>
    <v>0</v>
  </rv>
  <rv s="0">
    <fb>413.49</fb>
    <v>1</v>
  </rv>
  <rv s="0">
    <fb>45531</fb>
    <v>0</v>
  </rv>
  <rv s="0">
    <fb>413.84</fb>
    <v>1</v>
  </rv>
  <rv s="0">
    <fb>45532</fb>
    <v>0</v>
  </rv>
  <rv s="0">
    <fb>410.6</fb>
    <v>1</v>
  </rv>
  <rv s="0">
    <fb>45533</fb>
    <v>0</v>
  </rv>
  <rv s="0">
    <fb>413.12</fb>
    <v>1</v>
  </rv>
  <rv s="0">
    <fb>45534</fb>
    <v>0</v>
  </rv>
  <rv s="0">
    <fb>417.14</fb>
    <v>1</v>
  </rv>
  <rv s="0">
    <fb>45538</fb>
    <v>0</v>
  </rv>
  <rv s="0">
    <fb>409.44</fb>
    <v>1</v>
  </rv>
  <rv s="0">
    <fb>45539</fb>
    <v>0</v>
  </rv>
  <rv s="0">
    <fb>408.9</fb>
    <v>1</v>
  </rv>
  <rv s="0">
    <fb>45540</fb>
    <v>0</v>
  </rv>
  <rv s="0">
    <fb>408.39</fb>
    <v>1</v>
  </rv>
  <rv s="0">
    <fb>45541</fb>
    <v>0</v>
  </rv>
  <rv s="0">
    <fb>401.7</fb>
    <v>1</v>
  </rv>
  <rv s="0">
    <fb>45544</fb>
    <v>0</v>
  </rv>
  <rv s="0">
    <fb>405.72</fb>
    <v>1</v>
  </rv>
  <rv s="0">
    <fb>45545</fb>
    <v>0</v>
  </rv>
  <rv s="0">
    <fb>414.2</fb>
    <v>1</v>
  </rv>
  <rv s="0">
    <fb>45546</fb>
    <v>0</v>
  </rv>
  <rv s="0">
    <fb>423.04</fb>
    <v>1</v>
  </rv>
  <rv s="0">
    <fb>45547</fb>
    <v>0</v>
  </rv>
  <rv s="0">
    <fb>45548</fb>
    <v>0</v>
  </rv>
  <rv s="0">
    <fb>430.59</fb>
    <v>1</v>
  </rv>
  <rv s="0">
    <fb>45551</fb>
    <v>0</v>
  </rv>
  <rv s="0">
    <fb>431.34</fb>
    <v>1</v>
  </rv>
  <rv s="0">
    <fb>45552</fb>
    <v>0</v>
  </rv>
  <rv s="0">
    <fb>435.15</fb>
    <v>1</v>
  </rv>
  <rv s="0">
    <fb>45553</fb>
    <v>0</v>
  </rv>
  <rv s="0">
    <fb>430.81</fb>
    <v>1</v>
  </rv>
  <rv s="0">
    <fb>45554</fb>
    <v>0</v>
  </rv>
  <rv s="0">
    <fb>438.69</fb>
    <v>1</v>
  </rv>
  <rv s="0">
    <fb>45555</fb>
    <v>0</v>
  </rv>
  <rv s="0">
    <fb>435.27</fb>
    <v>1</v>
  </rv>
  <rv s="0">
    <fb>45558</fb>
    <v>0</v>
  </rv>
  <rv s="0">
    <fb>433.51</fb>
    <v>1</v>
  </rv>
  <rv s="0">
    <fb>45559</fb>
    <v>0</v>
  </rv>
  <rv s="0">
    <fb>45560</fb>
    <v>0</v>
  </rv>
  <rv s="0">
    <fb>432.11</fb>
    <v>1</v>
  </rv>
  <rv s="0">
    <fb>45561</fb>
    <v>0</v>
  </rv>
  <rv s="0">
    <fb>431.31</fb>
    <v>1</v>
  </rv>
  <rv s="0">
    <fb>45562</fb>
    <v>0</v>
  </rv>
  <rv s="0">
    <fb>428.02</fb>
    <v>1</v>
  </rv>
  <rv s="0">
    <fb>45565</fb>
    <v>0</v>
  </rv>
  <rv s="0">
    <fb>430.3</fb>
    <v>1</v>
  </rv>
  <rv s="0">
    <fb>45566</fb>
    <v>0</v>
  </rv>
  <rv s="0">
    <fb>420.69</fb>
    <v>1</v>
  </rv>
  <rv s="0">
    <fb>45567</fb>
    <v>0</v>
  </rv>
  <rv s="0">
    <fb>417.13</fb>
    <v>1</v>
  </rv>
  <rv s="0">
    <fb>45568</fb>
    <v>0</v>
  </rv>
  <rv s="0">
    <fb>416.54</fb>
    <v>1</v>
  </rv>
  <rv s="0">
    <fb>45569</fb>
    <v>0</v>
  </rv>
  <rv s="0">
    <fb>416.06</fb>
    <v>1</v>
  </rv>
  <rv s="0">
    <fb>45572</fb>
    <v>0</v>
  </rv>
  <rv s="0">
    <fb>409.54</fb>
    <v>1</v>
  </rv>
  <rv s="0">
    <fb>45573</fb>
    <v>0</v>
  </rv>
  <rv s="0">
    <fb>414.71</fb>
    <v>1</v>
  </rv>
  <rv s="0">
    <fb>45574</fb>
    <v>0</v>
  </rv>
  <rv s="0">
    <fb>417.46</fb>
    <v>1</v>
  </rv>
  <rv s="0">
    <fb>45575</fb>
    <v>0</v>
  </rv>
  <rv s="0">
    <fb>415.84</fb>
    <v>1</v>
  </rv>
  <rv s="0">
    <fb>45576</fb>
    <v>0</v>
  </rv>
  <rv s="0">
    <fb>416.32</fb>
    <v>1</v>
  </rv>
  <rv s="0">
    <fb>45579</fb>
    <v>0</v>
  </rv>
  <rv s="0">
    <fb>419.14</fb>
    <v>1</v>
  </rv>
  <rv s="0">
    <fb>45580</fb>
    <v>0</v>
  </rv>
  <rv s="0">
    <fb>418.74</fb>
    <v>1</v>
  </rv>
  <rv s="0">
    <fb>45581</fb>
    <v>0</v>
  </rv>
  <rv s="0">
    <fb>416.12</fb>
    <v>1</v>
  </rv>
  <rv s="0">
    <fb>45582</fb>
    <v>0</v>
  </rv>
  <rv s="0">
    <fb>416.72</fb>
    <v>1</v>
  </rv>
  <rv s="0">
    <fb>45583</fb>
    <v>0</v>
  </rv>
  <rv s="0">
    <fb>418.16</fb>
    <v>1</v>
  </rv>
  <rv s="0">
    <fb>45586</fb>
    <v>0</v>
  </rv>
  <rv s="0">
    <fb>418.78</fb>
    <v>1</v>
  </rv>
  <rv s="0">
    <fb>45587</fb>
    <v>0</v>
  </rv>
  <rv s="0">
    <fb>427.51</fb>
    <v>1</v>
  </rv>
  <rv s="0">
    <fb>45588</fb>
    <v>0</v>
  </rv>
  <rv s="0">
    <fb>424.6</fb>
    <v>1</v>
  </rv>
  <rv s="0">
    <fb>45589</fb>
    <v>0</v>
  </rv>
  <rv s="0">
    <fb>424.73</fb>
    <v>1</v>
  </rv>
  <rv s="0">
    <fb>45590</fb>
    <v>0</v>
  </rv>
  <rv s="0">
    <fb>428.15</fb>
    <v>1</v>
  </rv>
  <rv s="0">
    <fb>45593</fb>
    <v>0</v>
  </rv>
  <rv s="0">
    <fb>426.59</fb>
    <v>1</v>
  </rv>
  <rv s="0">
    <fb>45594</fb>
    <v>0</v>
  </rv>
  <rv s="0">
    <fb>431.95</fb>
    <v>1</v>
  </rv>
  <rv s="0">
    <fb>45595</fb>
    <v>0</v>
  </rv>
  <rv s="0">
    <fb>432.53</fb>
    <v>1</v>
  </rv>
  <rv s="0">
    <fb>45596</fb>
    <v>0</v>
  </rv>
  <rv s="0">
    <fb>406.35</fb>
    <v>1</v>
  </rv>
  <rv s="0">
    <fb>45597</fb>
    <v>0</v>
  </rv>
  <rv s="0">
    <fb>410.37</fb>
    <v>1</v>
  </rv>
  <rv s="0">
    <fb>45600</fb>
    <v>0</v>
  </rv>
  <rv s="0">
    <fb>408.46</fb>
    <v>1</v>
  </rv>
  <rv s="0">
    <fb>45601</fb>
    <v>0</v>
  </rv>
  <rv s="0">
    <fb>411.46</fb>
    <v>1</v>
  </rv>
  <rv s="0">
    <fb>45602</fb>
    <v>0</v>
  </rv>
  <rv s="0">
    <fb>420.18</fb>
    <v>1</v>
  </rv>
  <rv s="0">
    <fb>45603</fb>
    <v>0</v>
  </rv>
  <rv s="0">
    <fb>425.43</fb>
    <v>1</v>
  </rv>
  <rv s="0">
    <fb>45604</fb>
    <v>0</v>
  </rv>
  <rv s="0">
    <fb>422.54</fb>
    <v>1</v>
  </rv>
  <rv s="0">
    <fb>45607</fb>
    <v>0</v>
  </rv>
  <rv s="0">
    <fb>418.01</fb>
    <v>1</v>
  </rv>
  <rv s="0">
    <fb>45608</fb>
    <v>0</v>
  </rv>
  <rv s="0">
    <fb>423.03</fb>
    <v>1</v>
  </rv>
  <rv s="0">
    <fb>45609</fb>
    <v>0</v>
  </rv>
  <rv s="0">
    <fb>425.2</fb>
    <v>1</v>
  </rv>
  <rv s="0">
    <fb>45610</fb>
    <v>0</v>
  </rv>
  <rv s="0">
    <fb>426.89</fb>
    <v>1</v>
  </rv>
  <rv s="0">
    <fb>45611</fb>
    <v>0</v>
  </rv>
  <rv s="0">
    <fb>415</fb>
    <v>1</v>
  </rv>
  <rv s="0">
    <fb>45614</fb>
    <v>0</v>
  </rv>
  <rv s="0">
    <fb>415.76</fb>
    <v>1</v>
  </rv>
  <rv s="0">
    <fb>45615</fb>
    <v>0</v>
  </rv>
  <rv s="0">
    <fb>417.79</fb>
    <v>1</v>
  </rv>
  <rv s="0">
    <fb>45616</fb>
    <v>0</v>
  </rv>
  <rv s="0">
    <fb>415.49</fb>
    <v>1</v>
  </rv>
  <rv s="0">
    <fb>45617</fb>
    <v>0</v>
  </rv>
  <rv s="0">
    <fb>412.87</fb>
    <v>1</v>
  </rv>
  <rv s="0">
    <fb>45618</fb>
    <v>0</v>
  </rv>
  <rv s="0">
    <fb>417</fb>
    <v>1</v>
  </rv>
  <rv s="0">
    <fb>45621</fb>
    <v>0</v>
  </rv>
  <rv s="0">
    <fb>418.79</fb>
    <v>1</v>
  </rv>
  <rv s="0">
    <fb>45622</fb>
    <v>0</v>
  </rv>
  <rv s="0">
    <fb>427.99</fb>
    <v>1</v>
  </rv>
  <rv s="0">
    <fb>45623</fb>
    <v>0</v>
  </rv>
  <rv s="0">
    <fb>422.99</fb>
    <v>1</v>
  </rv>
  <rv s="0">
    <fb>45625</fb>
    <v>0</v>
  </rv>
  <rv s="0">
    <fb>423.46</fb>
    <v>1</v>
  </rv>
  <rv s="0">
    <fb>45628</fb>
    <v>0</v>
  </rv>
  <rv s="0">
    <fb>430.98</fb>
    <v>1</v>
  </rv>
  <rv s="0">
    <fb>45629</fb>
    <v>0</v>
  </rv>
  <rv s="0">
    <fb>431.2</fb>
    <v>1</v>
  </rv>
  <rv s="0">
    <fb>45630</fb>
    <v>0</v>
  </rv>
  <rv s="0">
    <fb>437.42</fb>
    <v>1</v>
  </rv>
  <rv s="0">
    <fb>45631</fb>
    <v>0</v>
  </rv>
  <rv s="0">
    <fb>442.62</fb>
    <v>1</v>
  </rv>
  <rv s="0">
    <fb>45632</fb>
    <v>0</v>
  </rv>
  <rv s="0">
    <fb>443.57</fb>
    <v>1</v>
  </rv>
  <rv s="0">
    <fb>45635</fb>
    <v>0</v>
  </rv>
  <rv s="0">
    <fb>446.02</fb>
    <v>1</v>
  </rv>
  <rv s="0">
    <fb>45636</fb>
    <v>0</v>
  </rv>
  <rv s="0">
    <fb>443.33</fb>
    <v>1</v>
  </rv>
  <rv s="0">
    <fb>45637</fb>
    <v>0</v>
  </rv>
  <rv s="0">
    <fb>448.99</fb>
    <v>1</v>
  </rv>
  <rv s="0">
    <fb>45638</fb>
    <v>0</v>
  </rv>
  <rv s="0">
    <fb>449.56</fb>
    <v>1</v>
  </rv>
  <rv s="0">
    <fb>45639</fb>
    <v>0</v>
  </rv>
  <rv s="0">
    <fb>447.27</fb>
    <v>1</v>
  </rv>
  <rv s="0">
    <fb>45642</fb>
    <v>0</v>
  </rv>
  <rv s="0">
    <fb>451.59</fb>
    <v>1</v>
  </rv>
  <rv s="0">
    <fb>45643</fb>
    <v>0</v>
  </rv>
  <rv s="0">
    <fb>454.46</fb>
    <v>1</v>
  </rv>
  <rv s="0">
    <fb>45644</fb>
    <v>0</v>
  </rv>
  <rv s="0">
    <fb>437.39</fb>
    <v>1</v>
  </rv>
  <rv s="0">
    <fb>45645</fb>
    <v>0</v>
  </rv>
  <rv s="0">
    <fb>437.03</fb>
    <v>1</v>
  </rv>
  <rv s="0">
    <fb>45646</fb>
    <v>0</v>
  </rv>
  <rv s="0">
    <fb>436.6</fb>
    <v>1</v>
  </rv>
  <rv s="0">
    <fb>45649</fb>
    <v>0</v>
  </rv>
  <rv s="0">
    <fb>435.25</fb>
    <v>1</v>
  </rv>
  <rv s="0">
    <fb>45650</fb>
    <v>0</v>
  </rv>
  <rv s="0">
    <fb>439.33</fb>
    <v>1</v>
  </rv>
  <rv s="0">
    <fb>45652</fb>
    <v>0</v>
  </rv>
  <rv s="0">
    <fb>438.11</fb>
    <v>1</v>
  </rv>
  <rv s="0">
    <fb>45653</fb>
    <v>0</v>
  </rv>
  <rv s="0">
    <fb>430.53</fb>
    <v>1</v>
  </rv>
  <rv s="0">
    <fb>45656</fb>
    <v>0</v>
  </rv>
  <rv s="0">
    <fb>424.83</fb>
    <v>1</v>
  </rv>
  <rv s="0">
    <fb>45657</fb>
    <v>0</v>
  </rv>
  <rv s="0">
    <fb>421.5</fb>
    <v>1</v>
  </rv>
  <rv s="0">
    <fb>45659</fb>
    <v>0</v>
  </rv>
  <rv s="0">
    <fb>418.58</fb>
    <v>1</v>
  </rv>
  <rv s="0">
    <fb>45660</fb>
    <v>0</v>
  </rv>
  <rv s="0">
    <fb>423.35</fb>
    <v>1</v>
  </rv>
  <rv s="0">
    <fb>45663</fb>
    <v>0</v>
  </rv>
  <rv s="0">
    <fb>427.85</fb>
    <v>1</v>
  </rv>
  <rv s="0">
    <fb>45664</fb>
    <v>0</v>
  </rv>
  <rv s="0">
    <fb>422.37</fb>
    <v>1</v>
  </rv>
  <rv s="0">
    <fb>45665</fb>
    <v>0</v>
  </rv>
  <rv s="0">
    <fb>424.56</fb>
    <v>1</v>
  </rv>
  <rv s="0">
    <fb>45667</fb>
    <v>0</v>
  </rv>
  <rv s="0">
    <fb>418.95</fb>
    <v>1</v>
  </rv>
  <rv s="0">
    <fb>45670</fb>
    <v>0</v>
  </rv>
  <rv s="0">
    <fb>417.19</fb>
    <v>1</v>
  </rv>
  <rv s="0">
    <fb>45671</fb>
    <v>0</v>
  </rv>
  <rv s="0">
    <fb>415.67</fb>
    <v>1</v>
  </rv>
  <rv s="0">
    <fb>45672</fb>
    <v>0</v>
  </rv>
  <rv s="0">
    <fb>426.31</fb>
    <v>1</v>
  </rv>
  <rv s="0">
    <fb>45673</fb>
    <v>0</v>
  </rv>
  <rv s="0">
    <fb>424.58</fb>
    <v>1</v>
  </rv>
  <rv s="0">
    <fb>45674</fb>
    <v>0</v>
  </rv>
  <rv s="0">
    <fb>429.03</fb>
    <v>1</v>
  </rv>
  <rv s="0">
    <fb>45678</fb>
    <v>0</v>
  </rv>
  <rv s="0">
    <fb>428.5</fb>
    <v>1</v>
  </rv>
  <rv s="0">
    <fb>45679</fb>
    <v>0</v>
  </rv>
  <rv s="0">
    <fb>446.2</fb>
    <v>1</v>
  </rv>
  <rv s="0">
    <fb>45680</fb>
    <v>0</v>
  </rv>
  <rv s="0">
    <fb>446.71</fb>
    <v>1</v>
  </rv>
  <rv s="0">
    <fb>45681</fb>
    <v>0</v>
  </rv>
  <rv s="0">
    <fb>444.06</fb>
    <v>1</v>
  </rv>
  <rv s="0">
    <fb>45684</fb>
    <v>0</v>
  </rv>
  <rv s="0">
    <fb>434.56</fb>
    <v>1</v>
  </rv>
  <rv s="0">
    <fb>45685</fb>
    <v>0</v>
  </rv>
  <rv s="0">
    <fb>447.2</fb>
    <v>1</v>
  </rv>
  <rv s="0">
    <fb>45686</fb>
    <v>0</v>
  </rv>
  <rv s="0">
    <fb>442.33</fb>
    <v>1</v>
  </rv>
  <rv s="0">
    <fb>45687</fb>
    <v>0</v>
  </rv>
  <rv s="0">
    <fb>414.99</fb>
    <v>1</v>
  </rv>
  <rv s="0">
    <fb>45688</fb>
    <v>0</v>
  </rv>
  <rv s="0">
    <fb>415.06</fb>
    <v>1</v>
  </rv>
  <rv s="0">
    <fb>45691</fb>
    <v>0</v>
  </rv>
  <rv s="0">
    <fb>410.92</fb>
    <v>1</v>
  </rv>
  <rv s="0">
    <fb>45692</fb>
    <v>0</v>
  </rv>
  <rv s="0">
    <fb>412.37</fb>
    <v>1</v>
  </rv>
  <rv s="0">
    <fb>45693</fb>
    <v>0</v>
  </rv>
  <rv s="0">
    <fb>413.29</fb>
    <v>1</v>
  </rv>
  <rv s="0">
    <fb>45694</fb>
    <v>0</v>
  </rv>
  <rv s="0">
    <fb>415.82</fb>
    <v>1</v>
  </rv>
  <rv s="0">
    <fb>45695</fb>
    <v>0</v>
  </rv>
  <rv s="0">
    <fb>409.75</fb>
    <v>1</v>
  </rv>
  <rv s="0">
    <fb>45698</fb>
    <v>0</v>
  </rv>
  <rv s="0">
    <fb>412.22</fb>
    <v>1</v>
  </rv>
  <rv s="0">
    <fb>45699</fb>
    <v>0</v>
  </rv>
  <rv s="0">
    <fb>411.44</fb>
    <v>1</v>
  </rv>
  <rv s="0">
    <fb>45700</fb>
    <v>0</v>
  </rv>
  <rv s="0">
    <fb>409.04</fb>
    <v>1</v>
  </rv>
  <rv s="0">
    <fb>45701</fb>
    <v>0</v>
  </rv>
  <rv s="0">
    <fb>45702</fb>
    <v>0</v>
  </rv>
  <rv s="0">
    <fb>408.43</fb>
    <v>1</v>
  </rv>
  <rv s="0">
    <fb>45706</fb>
    <v>0</v>
  </rv>
  <rv s="0">
    <fb>409.64</fb>
    <v>1</v>
  </rv>
  <rv s="0">
    <fb>45707</fb>
    <v>0</v>
  </rv>
  <rv s="0">
    <fb>414.77</fb>
    <v>1</v>
  </rv>
  <rv s="0">
    <fb>45708</fb>
    <v>0</v>
  </rv>
  <rv s="0">
    <fb>416.13</fb>
    <v>1</v>
  </rv>
  <rv s="0">
    <fb>45709</fb>
    <v>0</v>
  </rv>
  <rv s="0">
    <fb>408.21</fb>
    <v>1</v>
  </rv>
  <rv s="0">
    <fb>45712</fb>
    <v>0</v>
  </rv>
  <rv s="0">
    <fb>404</fb>
    <v>1</v>
  </rv>
  <rv s="0">
    <fb>45713</fb>
    <v>0</v>
  </rv>
  <rv s="0">
    <fb>397.9</fb>
    <v>1</v>
  </rv>
  <rv s="0">
    <fb>45714</fb>
    <v>0</v>
  </rv>
  <rv s="0">
    <fb>399.73</fb>
    <v>1</v>
  </rv>
  <rv s="0">
    <fb>45715</fb>
    <v>0</v>
  </rv>
  <rv s="0">
    <fb>392.53</fb>
    <v>1</v>
  </rv>
  <rv s="0">
    <fb>45716</fb>
    <v>0</v>
  </rv>
  <rv s="0">
    <fb>396.99</fb>
    <v>1</v>
  </rv>
  <rv s="0">
    <fb>45719</fb>
    <v>0</v>
  </rv>
  <rv s="0">
    <fb>388.49</fb>
    <v>1</v>
  </rv>
  <rv s="0">
    <fb>45720</fb>
    <v>0</v>
  </rv>
  <rv s="0">
    <fb>388.61</fb>
    <v>1</v>
  </rv>
  <rv s="0">
    <fb>45721</fb>
    <v>0</v>
  </rv>
  <rv s="0">
    <fb>401.02</fb>
    <v>1</v>
  </rv>
  <rv s="0">
    <fb>45722</fb>
    <v>0</v>
  </rv>
  <rv s="0">
    <fb>396.89</fb>
    <v>1</v>
  </rv>
  <rv s="0">
    <fb>45723</fb>
    <v>0</v>
  </rv>
  <rv s="0">
    <fb>393.31</fb>
    <v>1</v>
  </rv>
  <rv s="0">
    <fb>45726</fb>
    <v>0</v>
  </rv>
  <rv s="0">
    <fb>380.16</fb>
    <v>1</v>
  </rv>
  <rv s="0">
    <fb>45727</fb>
    <v>0</v>
  </rv>
  <rv s="0">
    <fb>380.45</fb>
    <v>1</v>
  </rv>
  <rv s="0">
    <fb>45728</fb>
    <v>0</v>
  </rv>
  <rv s="0">
    <fb>383.27</fb>
    <v>1</v>
  </rv>
  <rv s="0">
    <fb>45729</fb>
    <v>0</v>
  </rv>
  <rv s="0">
    <fb>378.77</fb>
    <v>1</v>
  </rv>
  <rv s="0">
    <fb>45730</fb>
    <v>0</v>
  </rv>
  <rv s="0">
    <fb>388.56</fb>
    <v>1</v>
  </rv>
  <rv s="0">
    <fb>45733</fb>
    <v>0</v>
  </rv>
  <rv s="0">
    <fb>388.7</fb>
    <v>1</v>
  </rv>
  <rv s="0">
    <fb>45734</fb>
    <v>0</v>
  </rv>
  <rv s="0">
    <fb>383.52</fb>
    <v>1</v>
  </rv>
  <rv s="0">
    <fb>45735</fb>
    <v>0</v>
  </rv>
  <rv s="0">
    <fb>387.82</fb>
    <v>1</v>
  </rv>
  <rv s="0">
    <fb>45736</fb>
    <v>0</v>
  </rv>
  <rv s="0">
    <fb>386.84</fb>
    <v>1</v>
  </rv>
  <rv s="0">
    <fb>45737</fb>
    <v>0</v>
  </rv>
  <rv s="0">
    <fb>391.26</fb>
    <v>1</v>
  </rv>
  <rv s="0">
    <fb>45740</fb>
    <v>0</v>
  </rv>
  <rv s="0">
    <fb>393.08</fb>
    <v>1</v>
  </rv>
  <rv s="0">
    <fb>45741</fb>
    <v>0</v>
  </rv>
  <rv s="0">
    <fb>395.16</fb>
    <v>1</v>
  </rv>
  <rv s="0">
    <fb>45742</fb>
    <v>0</v>
  </rv>
  <rv s="0">
    <fb>389.97</fb>
    <v>1</v>
  </rv>
  <rv s="0">
    <fb>45743</fb>
    <v>0</v>
  </rv>
  <rv s="0">
    <fb>390.58</fb>
    <v>1</v>
  </rv>
  <rv s="0">
    <fb>45744</fb>
    <v>0</v>
  </rv>
  <rv s="0">
    <fb>378.8</fb>
    <v>1</v>
  </rv>
  <rv s="0">
    <fb>45747</fb>
    <v>0</v>
  </rv>
  <rv s="0">
    <fb>375.39</fb>
    <v>1</v>
  </rv>
  <rv s="0">
    <fb>45748</fb>
    <v>0</v>
  </rv>
  <rv s="0">
    <fb>382.19</fb>
    <v>1</v>
  </rv>
  <rv s="0">
    <fb>45749</fb>
    <v>0</v>
  </rv>
  <rv s="0">
    <fb>382.14</fb>
    <v>1</v>
  </rv>
  <rv s="0">
    <fb>45750</fb>
    <v>0</v>
  </rv>
  <rv s="0">
    <fb>373.11</fb>
    <v>1</v>
  </rv>
  <rv s="0">
    <fb>45751</fb>
    <v>0</v>
  </rv>
  <rv s="0">
    <fb>359.84</fb>
    <v>1</v>
  </rv>
  <rv s="0">
    <fb>45754</fb>
    <v>0</v>
  </rv>
  <rv s="0">
    <fb>357.86</fb>
    <v>1</v>
  </rv>
  <rv s="0">
    <fb>45755</fb>
    <v>0</v>
  </rv>
  <rv s="0">
    <fb>354.56</fb>
    <v>1</v>
  </rv>
  <rv s="0">
    <fb>45756</fb>
    <v>0</v>
  </rv>
  <rv s="0">
    <fb>390.49</fb>
    <v>1</v>
  </rv>
  <rv s="0">
    <fb>45757</fb>
    <v>0</v>
  </rv>
  <rv s="0">
    <fb>381.35</fb>
    <v>1</v>
  </rv>
  <rv s="0">
    <fb>45758</fb>
    <v>0</v>
  </rv>
  <rv s="0">
    <fb>388.45</fb>
    <v>1</v>
  </rv>
  <rv s="0">
    <fb>45761</fb>
    <v>0</v>
  </rv>
  <rv s="0">
    <fb>387.81</fb>
    <v>1</v>
  </rv>
  <rv s="0">
    <fb>45762</fb>
    <v>0</v>
  </rv>
  <rv s="0">
    <fb>385.73</fb>
    <v>1</v>
  </rv>
  <rv s="0">
    <fb>45763</fb>
    <v>0</v>
  </rv>
  <rv s="0">
    <fb>371.61</fb>
    <v>1</v>
  </rv>
  <rv s="0">
    <fb>45764</fb>
    <v>0</v>
  </rv>
  <rv s="0">
    <fb>367.78</fb>
    <v>1</v>
  </rv>
  <rv s="0">
    <fb>45768</fb>
    <v>0</v>
  </rv>
  <rv s="0">
    <fb>359.12</fb>
    <v>1</v>
  </rv>
  <rv s="0">
    <fb>45769</fb>
    <v>0</v>
  </rv>
  <rv s="0">
    <fb>366.82</fb>
    <v>1</v>
  </rv>
  <rv s="0">
    <fb>45770</fb>
    <v>0</v>
  </rv>
  <rv s="0">
    <fb>374.39</fb>
    <v>1</v>
  </rv>
  <rv s="0">
    <fb>45771</fb>
    <v>0</v>
  </rv>
  <rv s="0">
    <fb>387.3</fb>
    <v>1</v>
  </rv>
  <rv s="0">
    <fb>45772</fb>
    <v>0</v>
  </rv>
  <rv s="0">
    <fb>391.85</fb>
    <v>1</v>
  </rv>
  <rv s="0">
    <fb>45775</fb>
    <v>0</v>
  </rv>
  <rv s="0">
    <fb>391.16</fb>
    <v>1</v>
  </rv>
  <rv s="0">
    <fb>45776</fb>
    <v>0</v>
  </rv>
  <rv s="0">
    <fb>394.04</fb>
    <v>1</v>
  </rv>
  <rv s="0">
    <fb>45777</fb>
    <v>0</v>
  </rv>
  <rv s="0">
    <fb>395.26</fb>
    <v>1</v>
  </rv>
  <rv s="0">
    <fb>45778</fb>
    <v>0</v>
  </rv>
  <rv s="0">
    <fb>425.4</fb>
    <v>1</v>
  </rv>
  <rv s="0">
    <fb>45779</fb>
    <v>0</v>
  </rv>
  <rv s="0">
    <fb>435.28</fb>
    <v>1</v>
  </rv>
  <rv s="0">
    <fb>45782</fb>
    <v>0</v>
  </rv>
  <rv s="0">
    <fb>436.17</fb>
    <v>1</v>
  </rv>
  <rv s="0">
    <fb>45783</fb>
    <v>0</v>
  </rv>
  <rv s="0">
    <fb>433.31</fb>
    <v>1</v>
  </rv>
  <rv s="0">
    <fb>45784</fb>
    <v>0</v>
  </rv>
  <rv s="0">
    <fb>433.35</fb>
    <v>1</v>
  </rv>
  <rv s="0">
    <fb>45785</fb>
    <v>0</v>
  </rv>
  <rv s="0">
    <fb>438.17</fb>
    <v>1</v>
  </rv>
  <rv s="0">
    <fb>45786</fb>
    <v>0</v>
  </rv>
  <rv s="0">
    <fb>438.73</fb>
    <v>1</v>
  </rv>
  <rv s="0">
    <fb>45789</fb>
    <v>0</v>
  </rv>
  <rv s="0">
    <fb>449.26</fb>
    <v>1</v>
  </rv>
  <rv s="0">
    <fb>45790</fb>
    <v>0</v>
  </rv>
  <rv s="0">
    <fb>449.14</fb>
    <v>1</v>
  </rv>
  <rv s="0">
    <fb>45791</fb>
    <v>0</v>
  </rv>
  <rv s="0">
    <fb>452.94</fb>
    <v>1</v>
  </rv>
  <rv s="0">
    <fb>45792</fb>
    <v>0</v>
  </rv>
  <rv s="0">
    <fb>453.13</fb>
    <v>1</v>
  </rv>
  <rv s="0">
    <fb>45793</fb>
    <v>0</v>
  </rv>
  <rv s="0">
    <fb>454.27</fb>
    <v>1</v>
  </rv>
  <rv s="0">
    <fb>45796</fb>
    <v>0</v>
  </rv>
  <rv s="0">
    <fb>458.87</fb>
    <v>1</v>
  </rv>
  <rv s="0">
    <fb>45797</fb>
    <v>0</v>
  </rv>
  <rv s="0">
    <fb>458.17</fb>
    <v>1</v>
  </rv>
  <rv s="0">
    <fb>45798</fb>
    <v>0</v>
  </rv>
  <rv s="0">
    <fb>452.57</fb>
    <v>1</v>
  </rv>
  <rv s="0">
    <fb>45799</fb>
    <v>0</v>
  </rv>
  <rv s="0">
    <fb>454.86</fb>
    <v>1</v>
  </rv>
  <rv s="0">
    <fb>45800</fb>
    <v>0</v>
  </rv>
  <rv s="0">
    <fb>450.18</fb>
    <v>1</v>
  </rv>
  <rv s="0">
    <fb>45804</fb>
    <v>0</v>
  </rv>
  <rv s="0">
    <fb>460.69</fb>
    <v>1</v>
  </rv>
  <rv s="0">
    <fb>45805</fb>
    <v>0</v>
  </rv>
  <rv s="0">
    <fb>457.36</fb>
    <v>1</v>
  </rv>
  <rv s="0">
    <fb>45806</fb>
    <v>0</v>
  </rv>
  <rv s="0">
    <fb>458.68</fb>
    <v>1</v>
  </rv>
  <rv s="0">
    <fb>45807</fb>
    <v>0</v>
  </rv>
  <rv s="0">
    <fb>460.36</fb>
    <v>1</v>
  </rv>
  <rv s="0">
    <fb>45810</fb>
    <v>0</v>
  </rv>
  <rv s="0">
    <fb>461.97</fb>
    <v>1</v>
  </rv>
  <rv s="0">
    <fb>45811</fb>
    <v>0</v>
  </rv>
  <rv s="0">
    <fb>462.97</fb>
    <v>1</v>
  </rv>
  <rv s="0">
    <fb>45812</fb>
    <v>0</v>
  </rv>
  <rv s="0">
    <fb>463.87</fb>
    <v>1</v>
  </rv>
  <rv s="0">
    <fb>45813</fb>
    <v>0</v>
  </rv>
  <rv s="0">
    <fb>467.68</fb>
    <v>1</v>
  </rv>
  <rv s="0">
    <fb>45814</fb>
    <v>0</v>
  </rv>
  <rv s="0">
    <fb>470.38</fb>
    <v>1</v>
  </rv>
  <rv s="0">
    <fb>45817</fb>
    <v>0</v>
  </rv>
  <rv s="0">
    <fb>472.75</fb>
    <v>1</v>
  </rv>
  <rv s="0">
    <fb>45818</fb>
    <v>0</v>
  </rv>
  <rv s="0">
    <fb>470.92</fb>
    <v>1</v>
  </rv>
  <rv s="0">
    <fb>45819</fb>
    <v>0</v>
  </rv>
  <rv s="0">
    <fb>472.62</fb>
    <v>1</v>
  </rv>
  <rv s="0">
    <fb>45820</fb>
    <v>0</v>
  </rv>
  <rv s="0">
    <fb>478.87</fb>
    <v>1</v>
  </rv>
  <rv s="0">
    <fb>45821</fb>
    <v>0</v>
  </rv>
  <rv s="0">
    <fb>474.96</fb>
    <v>1</v>
  </rv>
  <rv s="0">
    <fb>45824</fb>
    <v>0</v>
  </rv>
  <rv s="0">
    <fb>479.14</fb>
    <v>1</v>
  </rv>
  <rv s="0">
    <fb>45825</fb>
    <v>0</v>
  </rv>
  <rv s="0">
    <fb>478.04</fb>
    <v>1</v>
  </rv>
  <rv s="0">
    <fb>45826</fb>
    <v>0</v>
  </rv>
  <rv s="0">
    <fb>480.24</fb>
    <v>1</v>
  </rv>
  <rv s="0">
    <fb>45828</fb>
    <v>0</v>
  </rv>
  <rv s="0">
    <fb>477.4</fb>
    <v>1</v>
  </rv>
  <rv s="0">
    <fb>45831</fb>
    <v>0</v>
  </rv>
  <rv s="0">
    <fb>486</fb>
    <v>1</v>
  </rv>
  <rv s="0">
    <fb>45832</fb>
    <v>0</v>
  </rv>
  <rv s="0">
    <fb>490.11</fb>
    <v>1</v>
  </rv>
  <rv s="0">
    <fb>45833</fb>
    <v>0</v>
  </rv>
  <rv s="0">
    <fb>492.27</fb>
    <v>1</v>
  </rv>
  <rv s="0">
    <fb>45834</fb>
    <v>0</v>
  </rv>
  <rv s="0">
    <fb>497.45</fb>
    <v>1</v>
  </rv>
  <rv s="0">
    <fb>45835</fb>
    <v>0</v>
  </rv>
  <rv s="0">
    <fb>495.94</fb>
    <v>1</v>
  </rv>
  <rv s="0">
    <fb>45838</fb>
    <v>0</v>
  </rv>
  <rv s="0">
    <fb>497.41</fb>
    <v>1</v>
  </rv>
  <rv s="0">
    <fb>45839</fb>
    <v>0</v>
  </rv>
  <rv s="0">
    <fb>492.05</fb>
    <v>1</v>
  </rv>
  <rv s="0">
    <fb>45840</fb>
    <v>0</v>
  </rv>
  <rv s="0">
    <fb>491.09</fb>
    <v>1</v>
  </rv>
  <rv s="0">
    <fb>45841</fb>
    <v>0</v>
  </rv>
  <rv s="0">
    <fb>498.84</fb>
    <v>1</v>
  </rv>
  <rv s="0">
    <fb>45845</fb>
    <v>0</v>
  </rv>
  <rv s="0">
    <fb>497.72</fb>
    <v>1</v>
  </rv>
  <rv s="0">
    <fb>45846</fb>
    <v>0</v>
  </rv>
  <rv s="0">
    <fb>496.62</fb>
    <v>1</v>
  </rv>
  <rv s="0">
    <fb>45847</fb>
    <v>0</v>
  </rv>
  <rv s="0">
    <fb>503.51</fb>
    <v>1</v>
  </rv>
  <rv s="0">
    <fb>45848</fb>
    <v>0</v>
  </rv>
  <rv s="0">
    <fb>501.48</fb>
    <v>1</v>
  </rv>
  <rv s="0">
    <fb>45849</fb>
    <v>0</v>
  </rv>
  <rv s="0">
    <fb>503.32</fb>
    <v>1</v>
  </rv>
  <rv s="0">
    <fb>45852</fb>
    <v>0</v>
  </rv>
  <rv s="0">
    <fb>503.02</fb>
    <v>1</v>
  </rv>
  <rv s="0">
    <fb>45853</fb>
    <v>0</v>
  </rv>
  <rv s="0">
    <fb>505.82</fb>
    <v>1</v>
  </rv>
  <rv s="0">
    <fb>45854</fb>
    <v>0</v>
  </rv>
  <rv s="0">
    <fb>505.62</fb>
    <v>1</v>
  </rv>
  <rv s="0">
    <fb>45855</fb>
    <v>0</v>
  </rv>
  <rv s="0">
    <fb>511.7</fb>
    <v>1</v>
  </rv>
  <rv s="0">
    <fb>45856</fb>
    <v>0</v>
  </rv>
  <rv s="0">
    <fb>510.05</fb>
    <v>1</v>
  </rv>
  <rv s="0">
    <fb>45859</fb>
    <v>0</v>
  </rv>
  <rv s="0">
    <fb>510.06</fb>
    <v>1</v>
  </rv>
  <rv s="0">
    <fb>45860</fb>
    <v>0</v>
  </rv>
  <rv s="0">
    <fb>505.27</fb>
    <v>1</v>
  </rv>
  <rv s="0">
    <fb>45861</fb>
    <v>0</v>
  </rv>
  <rv s="0">
    <fb>505.87</fb>
    <v>1</v>
  </rv>
  <rv s="0">
    <fb>45862</fb>
    <v>0</v>
  </rv>
  <rv s="0">
    <fb>510.88</fb>
    <v>1</v>
  </rv>
  <rv s="0">
    <fb>45863</fb>
    <v>0</v>
  </rv>
  <rv s="0">
    <fb>513.71</fb>
    <v>1</v>
  </rv>
  <rv s="0">
    <fb>45866</fb>
    <v>0</v>
  </rv>
  <rv s="0">
    <fb>512.5</fb>
    <v>1</v>
  </rv>
  <rv s="0">
    <fb>45867</fb>
    <v>0</v>
  </rv>
  <rv s="0">
    <fb>512.57000000000005</fb>
    <v>1</v>
  </rv>
  <rv s="0">
    <fb>45868</fb>
    <v>0</v>
  </rv>
  <rv s="0">
    <fb>513.24</fb>
    <v>1</v>
  </rv>
  <rv s="0">
    <fb>45869</fb>
    <v>0</v>
  </rv>
  <rv s="0">
    <fb>533.5</fb>
    <v>1</v>
  </rv>
  <rv s="0">
    <fb>45870</fb>
    <v>0</v>
  </rv>
  <rv s="0">
    <fb>524.11</fb>
    <v>1</v>
  </rv>
  <rv s="0">
    <fb>45873</fb>
    <v>0</v>
  </rv>
  <rv s="0">
    <fb>535.64</fb>
    <v>1</v>
  </rv>
  <rv s="0">
    <fb>45874</fb>
    <v>0</v>
  </rv>
  <rv s="0">
    <fb>527.75</fb>
    <v>1</v>
  </rv>
  <rv s="0">
    <fb>45875</fb>
    <v>0</v>
  </rv>
  <rv s="0">
    <fb>524.94000000000005</fb>
    <v>1</v>
  </rv>
  <rv s="0">
    <fb>45876</fb>
    <v>0</v>
  </rv>
  <rv s="0">
    <fb>520.84</fb>
    <v>1</v>
  </rv>
  <rv s="0">
    <fb>45877</fb>
    <v>0</v>
  </rv>
  <rv s="0">
    <fb>522.04</fb>
    <v>1</v>
  </rv>
  <rv s="0">
    <fb>45880</fb>
    <v>0</v>
  </rv>
  <rv s="0">
    <fb>521.77</fb>
    <v>1</v>
  </rv>
  <rv s="0">
    <fb>45881</fb>
    <v>0</v>
  </rv>
  <rv s="0">
    <fb>529.24</fb>
    <v>1</v>
  </rv>
  <rv s="0">
    <fb>45882</fb>
    <v>0</v>
  </rv>
  <rv s="0">
    <fb>520.58000000000004</fb>
    <v>1</v>
  </rv>
  <rv s="0">
    <fb>45883</fb>
    <v>0</v>
  </rv>
  <rv s="0">
    <fb>522.48</fb>
    <v>1</v>
  </rv>
  <rv s="0">
    <fb>45884</fb>
    <v>0</v>
  </rv>
  <rv s="0">
    <fb>520.16999999999996</fb>
    <v>1</v>
  </rv>
  <rv s="0">
    <fb>45887</fb>
    <v>0</v>
  </rv>
  <rv s="0">
    <fb>517.1</fb>
    <v>1</v>
  </rv>
  <rv s="0">
    <fb>45888</fb>
    <v>0</v>
  </rv>
  <rv s="0">
    <fb>509.77</fb>
    <v>1</v>
  </rv>
  <rv s="0">
    <fb>45889</fb>
    <v>0</v>
  </rv>
  <rv s="0">
    <fb>505.72</fb>
    <v>1</v>
  </rv>
  <rv s="0">
    <fb>45890</fb>
    <v>0</v>
  </rv>
  <rv s="0">
    <fb>504.24</fb>
    <v>1</v>
  </rv>
  <rv s="0">
    <fb>45891</fb>
    <v>0</v>
  </rv>
  <rv s="0">
    <fb>507.23</fb>
    <v>1</v>
  </rv>
  <rv s="0">
    <fb>45894</fb>
    <v>0</v>
  </rv>
  <rv s="0">
    <fb>504.26</fb>
    <v>1</v>
  </rv>
  <rv s="0">
    <fb>45895</fb>
    <v>0</v>
  </rv>
  <rv s="0">
    <fb>502.04</fb>
    <v>1</v>
  </rv>
  <rv s="0">
    <fb>45896</fb>
    <v>0</v>
  </rv>
  <rv s="0">
    <fb>506.74</fb>
    <v>1</v>
  </rv>
  <rv s="0">
    <fb>45897</fb>
    <v>0</v>
  </rv>
  <rv s="0">
    <fb>509.64</fb>
    <v>1</v>
  </rv>
  <rv s="0">
    <fb>45898</fb>
    <v>0</v>
  </rv>
  <rv s="0">
    <fb>506.69</fb>
    <v>1</v>
  </rv>
  <rv s="0">
    <fb>45902</fb>
    <v>0</v>
  </rv>
  <rv s="0">
    <fb>505.12</fb>
    <v>1</v>
  </rv>
  <rv s="0">
    <fb>45903</fb>
    <v>0</v>
  </rv>
  <rv s="0">
    <fb>505.35</fb>
    <v>1</v>
  </rv>
  <rv s="0">
    <fb>45904</fb>
    <v>0</v>
  </rv>
  <rv s="0">
    <fb>507.97</fb>
    <v>1</v>
  </rv>
  <rv s="0">
    <fb>45905</fb>
    <v>0</v>
  </rv>
  <rv s="0">
    <fb>495</fb>
    <v>1</v>
  </rv>
  <rv s="0">
    <fb>45908</fb>
    <v>0</v>
  </rv>
  <rv s="0">
    <fb>498.2</fb>
    <v>1</v>
  </rv>
  <rv s="0">
    <fb>45909</fb>
    <v>0</v>
  </rv>
  <rv s="0">
    <fb>498.41</fb>
    <v>1</v>
  </rv>
  <rv s="0">
    <fb>45910</fb>
    <v>0</v>
  </rv>
  <rv s="0">
    <fb>500.37</fb>
    <v>1</v>
  </rv>
  <rv s="0">
    <fb>45911</fb>
    <v>0</v>
  </rv>
  <rv s="0">
    <fb>501.01</fb>
    <v>1</v>
  </rv>
  <rv s="0">
    <fb>45912</fb>
    <v>0</v>
  </rv>
  <rv s="0">
    <fb>509.9</fb>
    <v>1</v>
  </rv>
  <rv s="0">
    <fb>45915</fb>
    <v>0</v>
  </rv>
  <rv s="0">
    <fb>515.36</fb>
    <v>1</v>
  </rv>
  <rv s="0">
    <fb>45916</fb>
    <v>0</v>
  </rv>
  <rv s="0">
    <fb>509.04</fb>
    <v>1</v>
  </rv>
  <rv s="0">
    <fb>45917</fb>
    <v>0</v>
  </rv>
  <rv s="0">
    <fb>510.02</fb>
    <v>1</v>
  </rv>
  <rv s="0">
    <fb>45918</fb>
    <v>0</v>
  </rv>
  <rv s="0">
    <fb>508.45</fb>
    <v>1</v>
  </rv>
  <rv s="0">
    <fb>45919</fb>
    <v>0</v>
  </rv>
  <rv s="0">
    <fb>517.92999999999995</fb>
    <v>1</v>
  </rv>
  <rv s="0">
    <fb>45922</fb>
    <v>0</v>
  </rv>
  <rv s="0">
    <fb>514.45000000000005</fb>
    <v>1</v>
  </rv>
  <rv s="0">
    <fb>45923</fb>
    <v>0</v>
  </rv>
  <rv s="0">
    <fb>509.23</fb>
    <v>1</v>
  </rv>
  <rv s="0">
    <fb>45924</fb>
    <v>0</v>
  </rv>
  <rv s="0">
    <fb>510.15</fb>
    <v>1</v>
  </rv>
  <rv s="0">
    <fb>45925</fb>
    <v>0</v>
  </rv>
  <rv s="0">
    <fb>507.03</fb>
    <v>1</v>
  </rv>
  <rv s="0">
    <fb>45926</fb>
    <v>0</v>
  </rv>
  <rv s="0">
    <fb>511.46</fb>
    <v>1</v>
  </rv>
  <rv s="0">
    <fb>45929</fb>
    <v>0</v>
  </rv>
  <rv s="0">
    <fb>514.6</fb>
    <v>1</v>
  </rv>
  <rv s="0">
    <fb>45930</fb>
    <v>0</v>
  </rv>
  <rv s="0">
    <fb>517.95000000000005</fb>
    <v>1</v>
  </rv>
  <rv s="0">
    <fb>45931</fb>
    <v>0</v>
  </rv>
  <rv s="0">
    <fb>519.71</fb>
    <v>1</v>
  </rv>
  <rv s="0">
    <fb>45932</fb>
    <v>0</v>
  </rv>
  <rv s="0">
    <fb>515.74</fb>
    <v>1</v>
  </rv>
  <rv s="0">
    <fb>45933</fb>
    <v>0</v>
  </rv>
  <rv s="0">
    <fb>517.35</fb>
    <v>1</v>
  </rv>
  <rv s="0">
    <fb>45936</fb>
    <v>0</v>
  </rv>
  <rv s="0">
    <fb>528.57000000000005</fb>
    <v>1</v>
  </rv>
  <rv s="0">
    <fb>45937</fb>
    <v>0</v>
  </rv>
  <rv s="0">
    <fb>523.98</fb>
    <v>1</v>
  </rv>
  <rv s="0">
    <fb>45938</fb>
    <v>0</v>
  </rv>
  <rv s="0">
    <fb>524.85</fb>
    <v>1</v>
  </rv>
  <rv s="0">
    <fb>45939</fb>
    <v>0</v>
  </rv>
  <rv s="0">
    <fb>522.4</fb>
    <v>1</v>
  </rv>
  <rv s="0">
    <fb>45940</fb>
    <v>0</v>
  </rv>
  <rv s="0">
    <fb>510.96</fb>
    <v>1</v>
  </rv>
  <rv s="0">
    <fb>45943</fb>
    <v>0</v>
  </rv>
  <rv s="0">
    <fb>514.04999999999995</fb>
    <v>1</v>
  </rv>
  <rv s="0">
    <fb>45944</fb>
    <v>0</v>
  </rv>
  <rv s="0">
    <fb>513.57000000000005</fb>
    <v>1</v>
  </rv>
  <rv s="0">
    <fb>45945</fb>
    <v>0</v>
  </rv>
  <rv s="0">
    <fb>513.42999999999995</fb>
    <v>1</v>
  </rv>
  <rv s="0">
    <fb>45946</fb>
    <v>0</v>
  </rv>
  <rv s="0">
    <fb>511.61</fb>
    <v>1</v>
  </rv>
  <rv s="0">
    <fb>45947</fb>
    <v>0</v>
  </rv>
  <rv s="0">
    <fb>513.58000000000004</fb>
    <v>1</v>
  </rv>
  <rv s="0">
    <fb>45950</fb>
    <v>0</v>
  </rv>
  <rv s="0">
    <fb>516.79</fb>
    <v>1</v>
  </rv>
  <rv s="0">
    <fb>45951</fb>
    <v>0</v>
  </rv>
  <rv s="0">
    <fb>517.66</fb>
    <v>1</v>
  </rv>
  <rv s="0">
    <fb>45952</fb>
    <v>0</v>
  </rv>
  <rv s="0">
    <fb>520.54</fb>
    <v>1</v>
  </rv>
  <rv s="0">
    <fb>45953</fb>
    <v>0</v>
  </rv>
  <rv s="0">
    <fb>520.55999999999995</fb>
    <v>1</v>
  </rv>
  <rv s="0">
    <fb>45954</fb>
    <v>0</v>
  </rv>
  <rv s="0">
    <fb>523.61</fb>
    <v>1</v>
  </rv>
  <rv s="0">
    <fb>45957</fb>
    <v>0</v>
  </rv>
  <rv s="0">
    <fb>531.52</fb>
    <v>1</v>
  </rv>
  <rv s="0">
    <fb>45958</fb>
    <v>0</v>
  </rv>
  <rv s="0">
    <fb>542.07000000000005</fb>
    <v>1</v>
  </rv>
  <rv s="0">
    <fb>45959</fb>
    <v>0</v>
  </rv>
  <rv s="0">
    <fb>541.54999999999995</fb>
    <v>1</v>
  </rv>
  <rv s="0">
    <fb>45960</fb>
    <v>0</v>
  </rv>
  <rv s="0">
    <fb>525.76</fb>
    <v>1</v>
  </rv>
  <rv s="0">
    <fb>45961</fb>
    <v>0</v>
  </rv>
  <rv s="0">
    <fb>517.80999999999995</fb>
    <v>1</v>
  </rv>
  <rv s="0">
    <fb>45964</fb>
    <v>0</v>
  </rv>
  <rv s="0">
    <fb>517.03</fb>
    <v>1</v>
  </rv>
  <rv s="0">
    <fb>45965</fb>
    <v>0</v>
  </rv>
  <rv s="0">
    <fb>514.33000000000004</fb>
    <v>1</v>
  </rv>
  <rv s="0">
    <fb>45966</fb>
    <v>0</v>
  </rv>
  <rv s="0">
    <fb>507.16</fb>
    <v>1</v>
  </rv>
  <rv s="0">
    <fb>45967</fb>
    <v>0</v>
  </rv>
  <rv s="0">
    <fb>497.1</fb>
    <v>1</v>
  </rv>
  <rv s="0">
    <fb>45968</fb>
    <v>0</v>
  </rv>
  <rv s="0">
    <fb>496.82</fb>
    <v>1</v>
  </rv>
  <rv s="0">
    <fb>45971</fb>
    <v>0</v>
  </rv>
  <rv s="0">
    <fb>506</fb>
    <v>1</v>
  </rv>
  <rv s="0">
    <fb>45972</fb>
    <v>0</v>
  </rv>
  <rv s="0">
    <fb>508.68</fb>
    <v>1</v>
  </rv>
  <rv s="0">
    <fb>45973</fb>
    <v>0</v>
  </rv>
  <rv s="0">
    <fb>511.14</fb>
    <v>1</v>
  </rv>
  <rv s="0">
    <fb>45974</fb>
    <v>0</v>
  </rv>
  <rv s="0">
    <fb>503.29</fb>
    <v>1</v>
  </rv>
  <rv s="0">
    <fb>45975</fb>
    <v>0</v>
  </rv>
  <rv s="0">
    <fb>510.18</fb>
    <v>1</v>
  </rv>
  <rv s="0">
    <fb>45978</fb>
    <v>0</v>
  </rv>
  <rv s="0">
    <fb>507.49</fb>
    <v>1</v>
  </rv>
  <rv s="0">
    <fb>45979</fb>
    <v>0</v>
  </rv>
  <rv s="0">
    <fb>493.79</fb>
    <v>1</v>
  </rv>
  <rv s="0">
    <fb>45980</fb>
    <v>0</v>
  </rv>
  <rv s="0">
    <fb>487.12</fb>
    <v>1</v>
  </rv>
  <rv s="0">
    <fb>45981</fb>
    <v>0</v>
  </rv>
  <rv s="0">
    <fb>478.43</fb>
    <v>1</v>
  </rv>
  <rv s="0">
    <fb>45982</fb>
    <v>0</v>
  </rv>
  <rv s="0">
    <fb>472.12</fb>
    <v>1</v>
  </rv>
  <rv s="0">
    <fb>45985</fb>
    <v>0</v>
  </rv>
  <rv s="0">
    <fb>474</fb>
    <v>1</v>
  </rv>
  <rv s="0">
    <fb>45986</fb>
    <v>0</v>
  </rv>
  <rv s="0">
    <fb>476.99</fb>
    <v>1</v>
  </rv>
  <rv s="0">
    <fb>45987</fb>
    <v>0</v>
  </rv>
  <rv s="0">
    <fb>485.5</fb>
    <v>1</v>
  </rv>
  <rv s="0">
    <fb>45989</fb>
    <v>0</v>
  </rv>
  <rv s="0">
    <fb>492.01</fb>
    <v>1</v>
  </rv>
  <rv s="0">
    <fb>45992</fb>
    <v>0</v>
  </rv>
  <rv s="0">
    <fb>486.74</fb>
    <v>1</v>
  </rv>
  <rv s="0">
    <fb>45993</fb>
    <v>0</v>
  </rv>
  <rv s="0">
    <fb>490</fb>
    <v>1</v>
  </rv>
  <rv s="0">
    <fb>45994</fb>
    <v>0</v>
  </rv>
  <rv s="0">
    <fb>477.73</fb>
    <v>1</v>
  </rv>
  <rv s="0">
    <fb>45995</fb>
    <v>0</v>
  </rv>
  <rv s="0">
    <fb>480.84</fb>
    <v>1</v>
  </rv>
  <rv s="0">
    <fb>45996</fb>
    <v>0</v>
  </rv>
  <rv s="0">
    <fb>483.16</fb>
    <v>1</v>
  </rv>
  <rv s="0">
    <fb>45999</fb>
    <v>0</v>
  </rv>
  <rv s="0">
    <fb>491.02</fb>
    <v>1</v>
  </rv>
  <rv s="0">
    <fb>46000</fb>
    <v>0</v>
  </rv>
  <rv s="0">
    <fb>492.02</fb>
    <v>1</v>
  </rv>
  <rv s="0">
    <fb>46001</fb>
    <v>0</v>
  </rv>
  <rv s="0">
    <fb>478.56</fb>
    <v>1</v>
  </rv>
  <rv s="0">
    <fb>46002</fb>
    <v>0</v>
  </rv>
  <rv s="0">
    <fb>46003</fb>
    <v>0</v>
  </rv>
  <rv s="0">
    <fb>478.53</fb>
    <v>1</v>
  </rv>
  <rv s="0">
    <fb>46006</fb>
    <v>0</v>
  </rv>
  <rv s="0">
    <fb>474.82</fb>
    <v>1</v>
  </rv>
  <rv s="0">
    <fb>46007</fb>
    <v>0</v>
  </rv>
  <rv s="0">
    <fb>476.39</fb>
    <v>1</v>
  </rv>
  <rv s="0">
    <fb>46008</fb>
    <v>0</v>
  </rv>
  <rv s="0">
    <fb>476.12</fb>
    <v>1</v>
  </rv>
  <rv s="0">
    <fb>46009</fb>
    <v>0</v>
  </rv>
  <rv s="0">
    <fb>483.98</fb>
    <v>1</v>
  </rv>
  <rv s="0">
    <fb>46010</fb>
    <v>0</v>
  </rv>
  <rv s="0">
    <fb>485.92</fb>
    <v>1</v>
  </rv>
  <rv s="0">
    <fb>46013</fb>
    <v>0</v>
  </rv>
  <rv s="0">
    <fb>484.92</fb>
    <v>1</v>
  </rv>
  <rv s="0">
    <fb>46014</fb>
    <v>0</v>
  </rv>
  <rv s="0">
    <fb>486.85</fb>
    <v>1</v>
  </rv>
  <rv s="0">
    <fb>46015</fb>
    <v>0</v>
  </rv>
  <rv s="0">
    <fb>488.02</fb>
    <v>1</v>
  </rv>
  <rv s="0">
    <fb>46017</fb>
    <v>0</v>
  </rv>
  <rv s="0">
    <fb>487.71</fb>
    <v>1</v>
  </rv>
  <rv s="0">
    <fb>46020</fb>
    <v>0</v>
  </rv>
  <rv s="0">
    <fb>487.1</fb>
    <v>1</v>
  </rv>
  <rv s="0">
    <fb>46021</fb>
    <v>0</v>
  </rv>
  <rv s="0">
    <fb>487.48</fb>
    <v>1</v>
  </rv>
  <rv s="1">
    <v>2</v>
    <v>MSFT</v>
    <v>Daily</v>
    <v>45292</v>
    <v>46023</v>
    <v>0</v>
    <v>1</v>
    <v>639027360000000000,639119469233686554,0</v>
    <v>0</v>
    <v>a1xzim</v>
    <v>XNAS:MSFT</v>
    <v>1</v>
  </rv>
  <rv s="1">
    <v>2</v>
    <v>MSFT</v>
    <v>Daily</v>
    <v>46022</v>
    <v>46037</v>
    <v>0</v>
    <v>1</v>
    <v>639040320000000000,639119469234692140,0</v>
    <v>2</v>
    <v>a1xzim</v>
    <v>XNAS:MSFT</v>
    <v>3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/mm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E777A-D416-46CB-ADD3-7C143BCA0F50}">
  <dimension ref="A1:AG504"/>
  <sheetViews>
    <sheetView tabSelected="1" zoomScale="104" zoomScaleNormal="104" workbookViewId="0">
      <pane ySplit="2" topLeftCell="A19" activePane="bottomLeft" state="frozen"/>
      <selection pane="bottomLeft" activeCell="C20" sqref="C20"/>
    </sheetView>
  </sheetViews>
  <sheetFormatPr defaultRowHeight="15" customHeight="1" x14ac:dyDescent="0.35"/>
  <cols>
    <col min="1" max="1" width="10.36328125" bestFit="1" customWidth="1"/>
    <col min="2" max="2" width="12.90625" style="6" customWidth="1"/>
    <col min="3" max="3" width="9.7265625" style="2" bestFit="1" customWidth="1"/>
    <col min="5" max="5" width="12.7265625" bestFit="1" customWidth="1"/>
    <col min="6" max="6" width="9.1796875" bestFit="1" customWidth="1"/>
    <col min="7" max="7" width="8.08984375" bestFit="1" customWidth="1"/>
    <col min="8" max="8" width="10.36328125" bestFit="1" customWidth="1"/>
    <col min="9" max="9" width="8.81640625" bestFit="1" customWidth="1"/>
    <col min="10" max="10" width="9.6328125" customWidth="1"/>
    <col min="11" max="11" width="11.36328125" style="5" bestFit="1" customWidth="1"/>
    <col min="12" max="12" width="9.81640625" style="6" bestFit="1" customWidth="1"/>
    <col min="13" max="13" width="9.1796875" style="8" bestFit="1" customWidth="1"/>
    <col min="14" max="14" width="8.08984375" style="8" bestFit="1" customWidth="1"/>
    <col min="15" max="15" width="10.36328125" style="8" bestFit="1" customWidth="1"/>
    <col min="16" max="16" width="10" style="8" bestFit="1" customWidth="1"/>
    <col min="17" max="17" width="9.1796875" style="8" customWidth="1"/>
    <col min="18" max="18" width="6.54296875" style="8" bestFit="1" customWidth="1"/>
    <col min="20" max="20" width="14.90625" bestFit="1" customWidth="1"/>
    <col min="21" max="21" width="8.81640625" bestFit="1" customWidth="1"/>
    <col min="22" max="22" width="9.1796875" style="8" bestFit="1" customWidth="1"/>
    <col min="24" max="24" width="8.08984375" bestFit="1" customWidth="1"/>
    <col min="26" max="26" width="11.36328125" bestFit="1" customWidth="1"/>
    <col min="27" max="27" width="9.81640625" style="8" customWidth="1"/>
    <col min="29" max="29" width="7.453125" bestFit="1" customWidth="1"/>
    <col min="30" max="30" width="9.7265625" style="8" customWidth="1"/>
    <col min="32" max="32" width="11.7265625" bestFit="1" customWidth="1"/>
    <col min="33" max="33" width="11.54296875" style="8" customWidth="1"/>
  </cols>
  <sheetData>
    <row r="1" spans="1:33" ht="15" customHeight="1" x14ac:dyDescent="0.35">
      <c r="A1" s="1" t="s">
        <v>0</v>
      </c>
      <c r="B1" s="6" t="s">
        <v>9</v>
      </c>
      <c r="E1" t="s">
        <v>6</v>
      </c>
      <c r="H1" t="s">
        <v>5</v>
      </c>
      <c r="K1" t="s">
        <v>24</v>
      </c>
      <c r="O1" s="8" t="s">
        <v>25</v>
      </c>
      <c r="T1" t="s">
        <v>26</v>
      </c>
      <c r="U1" s="1">
        <v>5.0000000000000001E-3</v>
      </c>
      <c r="X1" s="3" t="s">
        <v>13</v>
      </c>
      <c r="Z1" t="s">
        <v>24</v>
      </c>
      <c r="AC1" t="s">
        <v>28</v>
      </c>
      <c r="AF1" t="s">
        <v>29</v>
      </c>
    </row>
    <row r="2" spans="1:33" s="3" customFormat="1" ht="15" customHeight="1" x14ac:dyDescent="0.35">
      <c r="A2" s="3" t="str" cm="1">
        <f t="array" aca="1" ref="A2:B504" ca="1">_xlfn.STOCKHISTORY(A1, DATE(2024,1,1),DATE(2026,1,1), 0,1,0,1)</f>
        <v>Date</v>
      </c>
      <c r="B2" s="7" t="str">
        <f ca="1"/>
        <v>Close</v>
      </c>
      <c r="C2" s="4" t="s">
        <v>8</v>
      </c>
      <c r="E2" s="3" t="s">
        <v>1</v>
      </c>
      <c r="F2" s="3" t="s">
        <v>2</v>
      </c>
      <c r="H2" s="3" t="str" cm="1">
        <f t="array" aca="1" ref="H2:I13" ca="1">_xlfn.STOCKHISTORY(A1, DATE(2025,12,31),DATE(2026,1,15), 0,1,0,1)</f>
        <v>Date</v>
      </c>
      <c r="I2" s="3" t="str">
        <f ca="1"/>
        <v>Close</v>
      </c>
      <c r="K2" s="3" t="s">
        <v>3</v>
      </c>
      <c r="L2" s="7" t="s">
        <v>4</v>
      </c>
      <c r="M2" s="9" t="s">
        <v>7</v>
      </c>
      <c r="N2" s="9"/>
      <c r="O2" s="9" t="s">
        <v>3</v>
      </c>
      <c r="P2" s="7" t="s">
        <v>4</v>
      </c>
      <c r="Q2" s="9" t="s">
        <v>7</v>
      </c>
      <c r="R2" s="12" t="s">
        <v>27</v>
      </c>
      <c r="T2" s="3" t="s">
        <v>3</v>
      </c>
      <c r="U2" s="3" t="s">
        <v>4</v>
      </c>
      <c r="V2" s="9" t="s">
        <v>7</v>
      </c>
      <c r="Z2" s="3" t="s">
        <v>14</v>
      </c>
      <c r="AA2" s="9" t="s">
        <v>15</v>
      </c>
      <c r="AC2" s="3" t="s">
        <v>14</v>
      </c>
      <c r="AD2" s="9" t="s">
        <v>15</v>
      </c>
      <c r="AF2" s="3" t="s">
        <v>14</v>
      </c>
      <c r="AG2" s="9" t="s">
        <v>15</v>
      </c>
    </row>
    <row r="3" spans="1:33" ht="15" customHeight="1" x14ac:dyDescent="0.35">
      <c r="A3" vm="1">
        <f ca="1"/>
        <v>45293</v>
      </c>
      <c r="B3" s="6" vm="2">
        <f ca="1"/>
        <v>370.87</v>
      </c>
      <c r="C3" s="2">
        <v>0</v>
      </c>
      <c r="E3" s="8">
        <f ca="1">AVERAGE(C4:C504)</f>
        <v>5.2983608281361165E-4</v>
      </c>
      <c r="F3" s="8">
        <f ca="1">_xlfn.STDEV.P(C4:C504)</f>
        <v>1.3909994101746707E-2</v>
      </c>
      <c r="G3" s="5"/>
      <c r="H3" vm="3">
        <f ca="1"/>
        <v>46022</v>
      </c>
      <c r="I3" vm="4">
        <f ca="1"/>
        <v>483.62</v>
      </c>
      <c r="K3" s="5">
        <v>46022</v>
      </c>
      <c r="L3" s="6" vm="4">
        <f ca="1">B504</f>
        <v>483.62</v>
      </c>
      <c r="M3" s="8">
        <v>0</v>
      </c>
      <c r="O3" s="5">
        <v>46022</v>
      </c>
      <c r="P3" s="6" vm="4">
        <f ca="1">B504</f>
        <v>483.62</v>
      </c>
      <c r="Q3" s="8">
        <v>0</v>
      </c>
      <c r="R3" s="13">
        <v>0</v>
      </c>
      <c r="T3" s="5">
        <v>46022</v>
      </c>
      <c r="U3" s="6" vm="4">
        <f ca="1">+B504</f>
        <v>483.62</v>
      </c>
      <c r="V3" s="8">
        <v>0</v>
      </c>
      <c r="Z3">
        <v>1</v>
      </c>
      <c r="AA3" s="8">
        <f ca="1">M14</f>
        <v>1.5421682953831612E-2</v>
      </c>
      <c r="AC3">
        <v>1</v>
      </c>
      <c r="AD3" s="8">
        <f ca="1">Q14</f>
        <v>2.4840473918949491E-2</v>
      </c>
      <c r="AF3">
        <v>1</v>
      </c>
      <c r="AG3" s="8">
        <f ca="1">V14</f>
        <v>3.3192006398752083E-2</v>
      </c>
    </row>
    <row r="4" spans="1:33" ht="15" customHeight="1" x14ac:dyDescent="0.35">
      <c r="A4" vm="5">
        <f ca="1"/>
        <v>45294</v>
      </c>
      <c r="B4" s="6" vm="6">
        <f ca="1"/>
        <v>370.6</v>
      </c>
      <c r="C4" s="2">
        <f ca="1">IFERROR(LN(B4/B3),C3)</f>
        <v>-7.2828303757105828E-4</v>
      </c>
      <c r="G4" s="5"/>
      <c r="H4" vm="7">
        <f ca="1"/>
        <v>46024</v>
      </c>
      <c r="I4" vm="8">
        <f ca="1"/>
        <v>472.94</v>
      </c>
      <c r="K4" s="5">
        <v>46024</v>
      </c>
      <c r="L4" s="6">
        <f ca="1">L3*EXP(($E$3-($F$3^2)/2)*1+$F$3*1*_xlfn.NORM.S.INV(RAND()))</f>
        <v>479.99248825538342</v>
      </c>
      <c r="M4" s="8">
        <f ca="1">ABS(L4-I4)/I4</f>
        <v>1.4912014748981737E-2</v>
      </c>
      <c r="O4" s="5">
        <v>46024</v>
      </c>
      <c r="P4" s="6">
        <f ca="1">L3*EXP(($E$3-($F$3^2)/2)*1+$F$3*1*LN(R4/(1-R4)))</f>
        <v>489.92392619474475</v>
      </c>
      <c r="Q4" s="8">
        <f ca="1">ABS(P4-I4)/I4</f>
        <v>3.5911376061962944E-2</v>
      </c>
      <c r="R4" s="13">
        <f t="shared" ref="R4:R13" ca="1" si="0">RAND()</f>
        <v>0.71092830508710259</v>
      </c>
      <c r="T4" s="5">
        <v>46024</v>
      </c>
      <c r="U4" s="6">
        <f ca="1">U3*EXP(($E$3-($F$3^2)/2)*1+$F$3*1*($U$1*TAN(PI()*(RAND()-0.5))))</f>
        <v>483.69869427291951</v>
      </c>
      <c r="V4" s="8">
        <f ca="1">ABS(U4-I4)/I4</f>
        <v>2.2748539503783805E-2</v>
      </c>
      <c r="Z4">
        <v>2</v>
      </c>
      <c r="AA4" s="8">
        <f t="dataTable" ref="AA4:AA502" dt2D="0" dtr="0" r1="AB5" ca="1"/>
        <v>2.3205865013321125E-2</v>
      </c>
      <c r="AC4">
        <v>2</v>
      </c>
      <c r="AD4" s="8">
        <f t="dataTable" ref="AD4:AD502" dt2D="0" dtr="0" r1="AE491" ca="1"/>
        <v>1.8950464155194493E-2</v>
      </c>
      <c r="AF4">
        <v>2</v>
      </c>
      <c r="AG4" s="8">
        <f t="dataTable" ref="AG4:AG502" dt2D="0" dtr="0" r1="AE5" ca="1"/>
        <v>2.3664197272700204E-2</v>
      </c>
    </row>
    <row r="5" spans="1:33" ht="15" customHeight="1" x14ac:dyDescent="0.35">
      <c r="A5" vm="9">
        <f ca="1"/>
        <v>45295</v>
      </c>
      <c r="B5" s="6" vm="10">
        <f ca="1"/>
        <v>367.94</v>
      </c>
      <c r="C5" s="2">
        <f ca="1">IFERROR(LN(B5/B4),C4)</f>
        <v>-7.2034324536222605E-3</v>
      </c>
      <c r="E5" t="s">
        <v>10</v>
      </c>
      <c r="G5" s="5"/>
      <c r="H5" vm="11">
        <f ca="1"/>
        <v>46027</v>
      </c>
      <c r="I5" vm="12">
        <f ca="1"/>
        <v>472.85</v>
      </c>
      <c r="K5" s="5">
        <v>46027</v>
      </c>
      <c r="L5" s="6">
        <f t="shared" ref="L5:L13" ca="1" si="1">L4*EXP(($E$3-($F$3^2)/2)*1+$F$3*1*_xlfn.NORM.S.INV(RAND()))</f>
        <v>483.63850203980746</v>
      </c>
      <c r="M5" s="8">
        <f t="shared" ref="M5:M13" ca="1" si="2">ABS(L5-I5)/I5</f>
        <v>2.2815907877355272E-2</v>
      </c>
      <c r="O5" s="5">
        <v>46027</v>
      </c>
      <c r="P5" s="6">
        <f t="shared" ref="P5:P13" ca="1" si="3">L4*EXP(($E$3-($F$3^2)/2)*1+$F$3*1*LN(R5/(1-R5)))</f>
        <v>464.40363776958066</v>
      </c>
      <c r="Q5" s="8">
        <f t="shared" ref="Q5:Q13" ca="1" si="4">ABS(P5-I5)/I5</f>
        <v>1.7862667294954778E-2</v>
      </c>
      <c r="R5" s="13">
        <f t="shared" ca="1" si="0"/>
        <v>8.2814450362343917E-2</v>
      </c>
      <c r="T5" s="5">
        <v>46027</v>
      </c>
      <c r="U5" s="6">
        <f t="shared" ref="U5:U13" ca="1" si="5">U4*EXP(($E$3-($F$3^2)/2)*1+$F$3*1*($U$1*TAN(PI()*(RAND()-0.5))))</f>
        <v>489.78196426052938</v>
      </c>
      <c r="V5" s="8">
        <f t="shared" ref="V5:V13" ca="1" si="6">ABS(U5-I5)/I5</f>
        <v>3.5808320314115162E-2</v>
      </c>
      <c r="Z5">
        <v>3</v>
      </c>
      <c r="AA5" s="8">
        <v>6.4399755683326204E-2</v>
      </c>
      <c r="AC5">
        <v>3</v>
      </c>
      <c r="AD5" s="8">
        <v>2.5451185489655859E-2</v>
      </c>
      <c r="AF5">
        <v>3</v>
      </c>
      <c r="AG5" s="8">
        <v>2.2777235910127178E-2</v>
      </c>
    </row>
    <row r="6" spans="1:33" ht="15" customHeight="1" x14ac:dyDescent="0.35">
      <c r="A6" vm="13">
        <f ca="1"/>
        <v>45296</v>
      </c>
      <c r="B6" s="6" vm="14">
        <f ca="1"/>
        <v>367.75</v>
      </c>
      <c r="C6" s="2">
        <f t="shared" ref="C6:C69" ca="1" si="7">IFERROR(LN(B6/B5),C5)</f>
        <v>-5.1652191609036723E-4</v>
      </c>
      <c r="E6" s="3" t="s">
        <v>1</v>
      </c>
      <c r="F6" s="3" t="s">
        <v>2</v>
      </c>
      <c r="H6" vm="15">
        <f ca="1"/>
        <v>46028</v>
      </c>
      <c r="I6" vm="16">
        <f ca="1"/>
        <v>478.51</v>
      </c>
      <c r="K6" s="5">
        <v>46028</v>
      </c>
      <c r="L6" s="6">
        <f t="shared" ca="1" si="1"/>
        <v>481.33919928827561</v>
      </c>
      <c r="M6" s="8">
        <f ca="1">ABS(L6-I6)/I6</f>
        <v>5.9125186271459691E-3</v>
      </c>
      <c r="O6" s="5">
        <v>46028</v>
      </c>
      <c r="P6" s="6">
        <f t="shared" ca="1" si="3"/>
        <v>494.97863513654954</v>
      </c>
      <c r="Q6" s="8">
        <f t="shared" ca="1" si="4"/>
        <v>3.4416491058806613E-2</v>
      </c>
      <c r="R6" s="13">
        <f t="shared" ca="1" si="0"/>
        <v>0.83686263243133507</v>
      </c>
      <c r="T6" s="5">
        <v>46028</v>
      </c>
      <c r="U6" s="6">
        <f t="shared" ca="1" si="5"/>
        <v>490.10779883078703</v>
      </c>
      <c r="V6" s="8">
        <f t="shared" ca="1" si="6"/>
        <v>2.4237317570765589E-2</v>
      </c>
      <c r="Z6">
        <v>4</v>
      </c>
      <c r="AA6" s="8">
        <v>2.8344074271171936E-2</v>
      </c>
      <c r="AC6">
        <v>4</v>
      </c>
      <c r="AD6" s="8">
        <v>4.6710665400372935E-2</v>
      </c>
      <c r="AF6">
        <v>4</v>
      </c>
      <c r="AG6" s="8">
        <v>2.2958135680512016E-2</v>
      </c>
    </row>
    <row r="7" spans="1:33" ht="15" customHeight="1" x14ac:dyDescent="0.35">
      <c r="A7" vm="17">
        <f ca="1"/>
        <v>45299</v>
      </c>
      <c r="B7" s="6" vm="18">
        <f ca="1"/>
        <v>374.69</v>
      </c>
      <c r="C7" s="2">
        <f t="shared" ca="1" si="7"/>
        <v>1.8695657944882968E-2</v>
      </c>
      <c r="E7" s="8">
        <f ca="1">E3*252</f>
        <v>0.13351869286903015</v>
      </c>
      <c r="F7" s="8">
        <f ca="1">F3*SQRT(252)</f>
        <v>0.22081431078958244</v>
      </c>
      <c r="H7" vm="19">
        <f ca="1"/>
        <v>46029</v>
      </c>
      <c r="I7" vm="20">
        <f ca="1"/>
        <v>483.47</v>
      </c>
      <c r="K7" s="5">
        <v>46029</v>
      </c>
      <c r="L7" s="6">
        <f t="shared" ca="1" si="1"/>
        <v>479.29082840020766</v>
      </c>
      <c r="M7" s="8">
        <f t="shared" ca="1" si="2"/>
        <v>8.6441177317979779E-3</v>
      </c>
      <c r="O7" s="5">
        <v>46029</v>
      </c>
      <c r="P7" s="6">
        <f t="shared" ca="1" si="3"/>
        <v>473.14888147955662</v>
      </c>
      <c r="Q7" s="8">
        <f t="shared" ca="1" si="4"/>
        <v>2.134800198656257E-2</v>
      </c>
      <c r="R7" s="13">
        <f t="shared" ca="1" si="0"/>
        <v>0.22012587049990151</v>
      </c>
      <c r="T7" s="5">
        <v>46029</v>
      </c>
      <c r="U7" s="6">
        <f t="shared" ca="1" si="5"/>
        <v>490.32431794202921</v>
      </c>
      <c r="V7" s="8">
        <f t="shared" ca="1" si="6"/>
        <v>1.417733870153098E-2</v>
      </c>
      <c r="Z7">
        <v>5</v>
      </c>
      <c r="AA7" s="8">
        <v>4.2815901380447635E-2</v>
      </c>
      <c r="AC7">
        <v>5</v>
      </c>
      <c r="AD7" s="8">
        <v>4.2705966736788552E-2</v>
      </c>
      <c r="AF7">
        <v>5</v>
      </c>
      <c r="AG7" s="8">
        <v>2.0885626362979366E-2</v>
      </c>
    </row>
    <row r="8" spans="1:33" ht="15" customHeight="1" x14ac:dyDescent="0.35">
      <c r="A8" vm="21">
        <f ca="1"/>
        <v>45300</v>
      </c>
      <c r="B8" s="6" vm="22">
        <f ca="1"/>
        <v>375.79</v>
      </c>
      <c r="C8" s="2">
        <f t="shared" ca="1" si="7"/>
        <v>2.9314593000031577E-3</v>
      </c>
      <c r="H8" vm="23">
        <f ca="1"/>
        <v>46030</v>
      </c>
      <c r="I8" vm="24">
        <f ca="1"/>
        <v>478.11</v>
      </c>
      <c r="K8" s="5">
        <v>46030</v>
      </c>
      <c r="L8" s="6">
        <f t="shared" ca="1" si="1"/>
        <v>479.39071262475431</v>
      </c>
      <c r="M8" s="8">
        <f t="shared" ca="1" si="2"/>
        <v>2.6786986776145679E-3</v>
      </c>
      <c r="O8" s="5">
        <v>46030</v>
      </c>
      <c r="P8" s="6">
        <f t="shared" ca="1" si="3"/>
        <v>491.97464021073722</v>
      </c>
      <c r="Q8" s="8">
        <f t="shared" ca="1" si="4"/>
        <v>2.8998850077884181E-2</v>
      </c>
      <c r="R8" s="13">
        <f t="shared" ca="1" si="0"/>
        <v>0.86373005874423292</v>
      </c>
      <c r="T8" s="5">
        <v>46030</v>
      </c>
      <c r="U8" s="6">
        <f t="shared" ca="1" si="5"/>
        <v>490.52196422896054</v>
      </c>
      <c r="V8" s="8">
        <f t="shared" ca="1" si="6"/>
        <v>2.5960478193220237E-2</v>
      </c>
      <c r="Z8">
        <v>6</v>
      </c>
      <c r="AA8" s="8">
        <v>3.1058136130913672E-2</v>
      </c>
      <c r="AC8">
        <v>6</v>
      </c>
      <c r="AD8" s="8">
        <v>2.9014739201813813E-2</v>
      </c>
      <c r="AF8">
        <v>6</v>
      </c>
      <c r="AG8" s="8">
        <v>2.3576067677391347E-2</v>
      </c>
    </row>
    <row r="9" spans="1:33" ht="15" customHeight="1" x14ac:dyDescent="0.35">
      <c r="A9" vm="25">
        <f ca="1"/>
        <v>45301</v>
      </c>
      <c r="B9" s="6" vm="26">
        <f ca="1"/>
        <v>382.77</v>
      </c>
      <c r="C9" s="2">
        <f t="shared" ca="1" si="7"/>
        <v>1.8403809875328525E-2</v>
      </c>
      <c r="E9" s="3" t="s">
        <v>11</v>
      </c>
      <c r="H9" vm="27">
        <f ca="1"/>
        <v>46031</v>
      </c>
      <c r="I9" vm="28">
        <f ca="1"/>
        <v>479.28</v>
      </c>
      <c r="K9" s="5">
        <v>46031</v>
      </c>
      <c r="L9" s="6">
        <f t="shared" ca="1" si="1"/>
        <v>474.12179458401187</v>
      </c>
      <c r="M9" s="8">
        <f t="shared" ca="1" si="2"/>
        <v>1.0762404890644523E-2</v>
      </c>
      <c r="O9" s="5">
        <v>46031</v>
      </c>
      <c r="P9" s="6">
        <f t="shared" ca="1" si="3"/>
        <v>470.65850015313788</v>
      </c>
      <c r="Q9" s="8">
        <f t="shared" ca="1" si="4"/>
        <v>1.7988440675308991E-2</v>
      </c>
      <c r="R9" s="13">
        <f t="shared" ca="1" si="0"/>
        <v>0.20542679763933414</v>
      </c>
      <c r="T9" s="5">
        <v>46031</v>
      </c>
      <c r="U9" s="6">
        <f t="shared" ca="1" si="5"/>
        <v>490.71535007489439</v>
      </c>
      <c r="V9" s="8">
        <f t="shared" ca="1" si="6"/>
        <v>2.3859435142076481E-2</v>
      </c>
      <c r="Z9">
        <v>7</v>
      </c>
      <c r="AA9" s="8">
        <v>2.3003152051363628E-2</v>
      </c>
      <c r="AC9">
        <v>7</v>
      </c>
      <c r="AD9" s="8">
        <v>2.3308202161894252E-2</v>
      </c>
      <c r="AF9">
        <v>7</v>
      </c>
      <c r="AG9" s="8">
        <v>2.4516661114663021E-2</v>
      </c>
    </row>
    <row r="10" spans="1:33" ht="15" customHeight="1" x14ac:dyDescent="0.35">
      <c r="A10" vm="29">
        <f ca="1"/>
        <v>45302</v>
      </c>
      <c r="B10" s="6" vm="30">
        <f ca="1"/>
        <v>384.63</v>
      </c>
      <c r="C10" s="2">
        <f t="shared" ca="1" si="7"/>
        <v>4.8475466309574212E-3</v>
      </c>
      <c r="E10" s="6">
        <f ca="1">AVERAGE(B3:B504)</f>
        <v>442.28314741035848</v>
      </c>
      <c r="H10" vm="31">
        <f ca="1"/>
        <v>46034</v>
      </c>
      <c r="I10" vm="32">
        <f ca="1"/>
        <v>477.18</v>
      </c>
      <c r="K10" s="5">
        <v>46034</v>
      </c>
      <c r="L10" s="6">
        <f t="shared" ca="1" si="1"/>
        <v>471.79691250793968</v>
      </c>
      <c r="M10" s="8">
        <f t="shared" ca="1" si="2"/>
        <v>1.1281041728614624E-2</v>
      </c>
      <c r="O10" s="5">
        <v>46034</v>
      </c>
      <c r="P10" s="6">
        <f t="shared" ca="1" si="3"/>
        <v>476.23439357173612</v>
      </c>
      <c r="Q10" s="8">
        <f t="shared" ca="1" si="4"/>
        <v>1.981655618977925E-3</v>
      </c>
      <c r="R10" s="13">
        <f t="shared" ca="1" si="0"/>
        <v>0.57162520337028111</v>
      </c>
      <c r="T10" s="5">
        <v>46034</v>
      </c>
      <c r="U10" s="6">
        <f t="shared" ca="1" si="5"/>
        <v>490.9243760517881</v>
      </c>
      <c r="V10" s="8">
        <f t="shared" ca="1" si="6"/>
        <v>2.8803336375766157E-2</v>
      </c>
      <c r="Z10">
        <v>8</v>
      </c>
      <c r="AA10" s="8">
        <v>3.2779712876421632E-2</v>
      </c>
      <c r="AC10">
        <v>8</v>
      </c>
      <c r="AD10" s="8">
        <v>4.6915259551124182E-2</v>
      </c>
      <c r="AF10">
        <v>8</v>
      </c>
      <c r="AG10" s="8">
        <v>2.294689993060791E-2</v>
      </c>
    </row>
    <row r="11" spans="1:33" ht="15" customHeight="1" x14ac:dyDescent="0.35">
      <c r="A11" vm="33">
        <f ca="1"/>
        <v>45303</v>
      </c>
      <c r="B11" s="6" vm="34">
        <f ca="1"/>
        <v>388.47</v>
      </c>
      <c r="C11" s="2">
        <f t="shared" ca="1" si="7"/>
        <v>9.9341135161394884E-3</v>
      </c>
      <c r="H11" vm="35">
        <f ca="1"/>
        <v>46035</v>
      </c>
      <c r="I11" vm="36">
        <f ca="1"/>
        <v>470.67</v>
      </c>
      <c r="K11" s="5">
        <v>46035</v>
      </c>
      <c r="L11" s="6">
        <f t="shared" ca="1" si="1"/>
        <v>467.1261028449689</v>
      </c>
      <c r="M11" s="8">
        <f t="shared" ca="1" si="2"/>
        <v>7.5294732084711536E-3</v>
      </c>
      <c r="O11" s="5">
        <v>46035</v>
      </c>
      <c r="P11" s="6">
        <f t="shared" ca="1" si="3"/>
        <v>493.58889323424438</v>
      </c>
      <c r="Q11" s="8">
        <f t="shared" ca="1" si="4"/>
        <v>4.8694187507689814E-2</v>
      </c>
      <c r="R11" s="13">
        <f t="shared" ca="1" si="0"/>
        <v>0.96139653506874567</v>
      </c>
      <c r="T11" s="5">
        <v>46035</v>
      </c>
      <c r="U11" s="6">
        <f t="shared" ca="1" si="5"/>
        <v>491.13833487749798</v>
      </c>
      <c r="V11" s="8">
        <f t="shared" ca="1" si="6"/>
        <v>4.3487655634516682E-2</v>
      </c>
      <c r="Z11">
        <v>9</v>
      </c>
      <c r="AA11" s="8">
        <v>3.4100263825135251E-2</v>
      </c>
      <c r="AC11">
        <v>9</v>
      </c>
      <c r="AD11" s="8">
        <v>4.685155729187656E-2</v>
      </c>
      <c r="AF11">
        <v>9</v>
      </c>
      <c r="AG11" s="8">
        <v>2.3171102058058734E-2</v>
      </c>
    </row>
    <row r="12" spans="1:33" ht="15" customHeight="1" x14ac:dyDescent="0.35">
      <c r="A12" vm="37">
        <f ca="1"/>
        <v>45307</v>
      </c>
      <c r="B12" s="6" vm="38">
        <f ca="1"/>
        <v>390.27</v>
      </c>
      <c r="C12" s="2">
        <f t="shared" ca="1" si="7"/>
        <v>4.6228605327188936E-3</v>
      </c>
      <c r="E12" t="s">
        <v>23</v>
      </c>
      <c r="H12" vm="39">
        <f ca="1"/>
        <v>46036</v>
      </c>
      <c r="I12" vm="40">
        <f ca="1"/>
        <v>459.38</v>
      </c>
      <c r="K12" s="5">
        <v>46036</v>
      </c>
      <c r="L12" s="6">
        <f t="shared" ca="1" si="1"/>
        <v>469.11379624796672</v>
      </c>
      <c r="M12" s="8">
        <f t="shared" ca="1" si="2"/>
        <v>2.1188985693688718E-2</v>
      </c>
      <c r="O12" s="5">
        <v>46036</v>
      </c>
      <c r="P12" s="6">
        <f t="shared" ca="1" si="3"/>
        <v>462.4951041827851</v>
      </c>
      <c r="Q12" s="8">
        <f t="shared" ca="1" si="4"/>
        <v>6.7811053654601924E-3</v>
      </c>
      <c r="R12" s="13">
        <f t="shared" ca="1" si="0"/>
        <v>0.3213874659237167</v>
      </c>
      <c r="T12" s="5">
        <v>46036</v>
      </c>
      <c r="U12" s="6">
        <f t="shared" ca="1" si="5"/>
        <v>491.3488248792645</v>
      </c>
      <c r="V12" s="8">
        <f t="shared" ca="1" si="6"/>
        <v>6.9591242281476132E-2</v>
      </c>
      <c r="Z12">
        <v>10</v>
      </c>
      <c r="AA12" s="8">
        <v>2.4500878912366388E-2</v>
      </c>
      <c r="AC12">
        <v>10</v>
      </c>
      <c r="AD12" s="8">
        <v>1.8518958733278964E-2</v>
      </c>
      <c r="AF12">
        <v>10</v>
      </c>
      <c r="AG12" s="8">
        <v>2.3216937986745637E-2</v>
      </c>
    </row>
    <row r="13" spans="1:33" ht="15" customHeight="1" x14ac:dyDescent="0.35">
      <c r="A13" vm="41">
        <f ca="1"/>
        <v>45308</v>
      </c>
      <c r="B13" s="6" vm="42">
        <f ca="1"/>
        <v>389.47</v>
      </c>
      <c r="C13" s="2">
        <f t="shared" ca="1" si="7"/>
        <v>-2.0519667599570193E-3</v>
      </c>
      <c r="H13" vm="43">
        <f ca="1"/>
        <v>46037</v>
      </c>
      <c r="I13" vm="44">
        <f ca="1"/>
        <v>456.66</v>
      </c>
      <c r="K13" s="5">
        <v>46037</v>
      </c>
      <c r="L13" s="6">
        <f t="shared" ca="1" si="1"/>
        <v>478.8042043572184</v>
      </c>
      <c r="M13" s="8">
        <f t="shared" ca="1" si="2"/>
        <v>4.8491666354001595E-2</v>
      </c>
      <c r="O13" s="5">
        <v>46037</v>
      </c>
      <c r="P13" s="6">
        <f t="shared" ca="1" si="3"/>
        <v>483.72278469086558</v>
      </c>
      <c r="Q13" s="8">
        <f t="shared" ca="1" si="4"/>
        <v>5.9262437460836405E-2</v>
      </c>
      <c r="R13" s="13">
        <f t="shared" ca="1" si="0"/>
        <v>0.89784538592389951</v>
      </c>
      <c r="T13" s="5">
        <v>46037</v>
      </c>
      <c r="U13" s="6">
        <f t="shared" ca="1" si="5"/>
        <v>491.56636278947548</v>
      </c>
      <c r="V13" s="8">
        <f t="shared" ca="1" si="6"/>
        <v>7.64384066690217E-2</v>
      </c>
      <c r="Z13">
        <v>11</v>
      </c>
      <c r="AA13" s="8">
        <v>4.9261073223191329E-2</v>
      </c>
      <c r="AC13">
        <v>11</v>
      </c>
      <c r="AD13" s="8">
        <v>3.1596393404974589E-2</v>
      </c>
      <c r="AF13">
        <v>11</v>
      </c>
      <c r="AG13" s="8">
        <v>2.3141841550350095E-2</v>
      </c>
    </row>
    <row r="14" spans="1:33" ht="15" customHeight="1" x14ac:dyDescent="0.35">
      <c r="A14" vm="45">
        <f ca="1"/>
        <v>45309</v>
      </c>
      <c r="B14" s="6" vm="46">
        <f ca="1"/>
        <v>393.87</v>
      </c>
      <c r="C14" s="2">
        <f t="shared" ca="1" si="7"/>
        <v>1.1234065092508331E-2</v>
      </c>
      <c r="L14" s="7" t="s">
        <v>12</v>
      </c>
      <c r="M14" s="9">
        <f ca="1">AVERAGE(M4:M13)</f>
        <v>1.5421682953831612E-2</v>
      </c>
      <c r="N14" s="9"/>
      <c r="O14" s="9"/>
      <c r="P14" s="7" t="s">
        <v>22</v>
      </c>
      <c r="Q14" s="9">
        <f ca="1">AVERAGE(Q3:Q13)</f>
        <v>2.4840473918949491E-2</v>
      </c>
      <c r="R14" s="9"/>
      <c r="U14" s="3" t="s">
        <v>12</v>
      </c>
      <c r="V14" s="9">
        <f ca="1">AVERAGE(V3:V13)</f>
        <v>3.3192006398752083E-2</v>
      </c>
      <c r="Z14">
        <v>12</v>
      </c>
      <c r="AA14" s="8">
        <v>6.2015397153421116E-2</v>
      </c>
      <c r="AC14">
        <v>12</v>
      </c>
      <c r="AD14" s="8">
        <v>1.6562485256527572E-2</v>
      </c>
      <c r="AF14">
        <v>12</v>
      </c>
      <c r="AG14" s="8">
        <v>2.2649268976795509E-2</v>
      </c>
    </row>
    <row r="15" spans="1:33" ht="15" customHeight="1" thickBot="1" x14ac:dyDescent="0.4">
      <c r="A15" vm="47">
        <f ca="1"/>
        <v>45310</v>
      </c>
      <c r="B15" s="6" vm="48">
        <f ca="1"/>
        <v>398.67</v>
      </c>
      <c r="C15" s="2">
        <f t="shared" ca="1" si="7"/>
        <v>1.2113101397397462E-2</v>
      </c>
      <c r="Z15">
        <v>13</v>
      </c>
      <c r="AA15" s="8">
        <v>3.7997101151227758E-2</v>
      </c>
      <c r="AC15">
        <v>13</v>
      </c>
      <c r="AD15" s="8">
        <v>2.1883471127156159E-2</v>
      </c>
      <c r="AF15">
        <v>13</v>
      </c>
      <c r="AG15" s="8">
        <v>2.3299379226993402E-2</v>
      </c>
    </row>
    <row r="16" spans="1:33" ht="15" customHeight="1" x14ac:dyDescent="0.35">
      <c r="A16" vm="49">
        <f ca="1"/>
        <v>45313</v>
      </c>
      <c r="B16" s="6" vm="50">
        <f ca="1"/>
        <v>396.51</v>
      </c>
      <c r="C16" s="2">
        <f t="shared" ca="1" si="7"/>
        <v>-5.4327455737011318E-3</v>
      </c>
      <c r="E16" s="22" t="s">
        <v>31</v>
      </c>
      <c r="F16" s="23"/>
      <c r="G16" s="23"/>
      <c r="H16" s="24"/>
      <c r="K16" s="22" t="s">
        <v>30</v>
      </c>
      <c r="L16" s="23"/>
      <c r="M16" s="23"/>
      <c r="N16" s="24"/>
      <c r="Z16">
        <v>14</v>
      </c>
      <c r="AA16" s="8">
        <v>5.4779575891570544E-2</v>
      </c>
      <c r="AC16">
        <v>14</v>
      </c>
      <c r="AD16" s="8">
        <v>5.2591687709710649E-2</v>
      </c>
      <c r="AF16">
        <v>14</v>
      </c>
      <c r="AG16" s="8">
        <v>2.3926773757718699E-2</v>
      </c>
    </row>
    <row r="17" spans="1:33" ht="15" customHeight="1" x14ac:dyDescent="0.35">
      <c r="A17" vm="51">
        <f ca="1"/>
        <v>45314</v>
      </c>
      <c r="B17" s="6" vm="52">
        <f ca="1"/>
        <v>398.9</v>
      </c>
      <c r="C17" s="2">
        <f t="shared" ca="1" si="7"/>
        <v>6.009497473535819E-3</v>
      </c>
      <c r="E17" s="10" t="s">
        <v>18</v>
      </c>
      <c r="F17" t="s">
        <v>17</v>
      </c>
      <c r="G17" t="s">
        <v>16</v>
      </c>
      <c r="H17" s="15" t="s">
        <v>21</v>
      </c>
      <c r="K17" s="10" t="s">
        <v>18</v>
      </c>
      <c r="L17" t="s">
        <v>17</v>
      </c>
      <c r="M17" t="s">
        <v>16</v>
      </c>
      <c r="N17" s="15" t="s">
        <v>21</v>
      </c>
      <c r="Z17">
        <v>15</v>
      </c>
      <c r="AA17" s="8">
        <v>2.4937776177926418E-2</v>
      </c>
      <c r="AC17">
        <v>15</v>
      </c>
      <c r="AD17" s="8">
        <v>2.1344888852367818E-2</v>
      </c>
      <c r="AF17">
        <v>15</v>
      </c>
      <c r="AG17" s="8">
        <v>2.1023038225897853E-2</v>
      </c>
    </row>
    <row r="18" spans="1:33" ht="15" customHeight="1" thickBot="1" x14ac:dyDescent="0.4">
      <c r="A18" vm="53">
        <f ca="1"/>
        <v>45315</v>
      </c>
      <c r="B18" s="6" vm="54">
        <f ca="1"/>
        <v>402.56</v>
      </c>
      <c r="C18" s="2">
        <f t="shared" ca="1" si="7"/>
        <v>9.1333951606601248E-3</v>
      </c>
      <c r="E18" s="16" t="s">
        <v>19</v>
      </c>
      <c r="F18" s="20">
        <f ca="1">AVERAGE(AA3:AA502)</f>
        <v>3.5442087403833901E-2</v>
      </c>
      <c r="G18" s="20">
        <f ca="1">AVERAGE(AG3:AG502)</f>
        <v>2.3975600254776429E-2</v>
      </c>
      <c r="H18" s="21">
        <f>AVERAGE(AD15:AD502)</f>
        <v>3.6318731729692452E-2</v>
      </c>
      <c r="K18" s="16" t="s">
        <v>20</v>
      </c>
      <c r="L18" s="17">
        <f>_xlfn.STDEV.P(AA8:AA507)</f>
        <v>1.8855695020304753E-2</v>
      </c>
      <c r="M18" s="18">
        <f>_xlfn.STDEV.P(AG8:AG507)</f>
        <v>1.2082309887163795E-2</v>
      </c>
      <c r="N18" s="19">
        <f>_xlfn.STDEV.P(AD23:AD507)</f>
        <v>1.4590653230198324E-2</v>
      </c>
      <c r="Z18">
        <v>16</v>
      </c>
      <c r="AA18" s="8">
        <v>2.0123164404325284E-2</v>
      </c>
      <c r="AC18">
        <v>16</v>
      </c>
      <c r="AD18" s="8">
        <v>5.3539313431597658E-2</v>
      </c>
      <c r="AF18">
        <v>16</v>
      </c>
      <c r="AG18" s="8">
        <v>2.3349989903556592E-2</v>
      </c>
    </row>
    <row r="19" spans="1:33" ht="15" customHeight="1" x14ac:dyDescent="0.35">
      <c r="A19" vm="55">
        <f ca="1"/>
        <v>45316</v>
      </c>
      <c r="B19" s="6" vm="56">
        <f ca="1"/>
        <v>404.87</v>
      </c>
      <c r="C19" s="2">
        <f t="shared" ca="1" si="7"/>
        <v>5.7218738526332944E-3</v>
      </c>
      <c r="G19" s="3"/>
      <c r="H19" s="11"/>
      <c r="I19" s="14"/>
      <c r="J19" s="11"/>
      <c r="K19"/>
      <c r="L19"/>
      <c r="M19"/>
      <c r="N19"/>
      <c r="Z19">
        <v>17</v>
      </c>
      <c r="AA19" s="8">
        <v>4.470925778717541E-2</v>
      </c>
      <c r="AC19">
        <v>17</v>
      </c>
      <c r="AD19" s="8">
        <v>2.8442722945485725E-2</v>
      </c>
      <c r="AF19">
        <v>17</v>
      </c>
      <c r="AG19" s="8">
        <v>2.3052632860341871E-2</v>
      </c>
    </row>
    <row r="20" spans="1:33" ht="15" customHeight="1" x14ac:dyDescent="0.35">
      <c r="A20" vm="57">
        <f ca="1"/>
        <v>45317</v>
      </c>
      <c r="B20" s="6" vm="58">
        <f ca="1"/>
        <v>403.93</v>
      </c>
      <c r="C20" s="2">
        <f t="shared" ca="1" si="7"/>
        <v>-2.3244323027543107E-3</v>
      </c>
      <c r="Z20">
        <v>18</v>
      </c>
      <c r="AA20" s="8">
        <v>2.8834544242801192E-2</v>
      </c>
      <c r="AC20">
        <v>18</v>
      </c>
      <c r="AD20" s="8">
        <v>5.3790829407321494E-2</v>
      </c>
      <c r="AF20">
        <v>18</v>
      </c>
      <c r="AG20" s="8">
        <v>2.2532724517769054E-2</v>
      </c>
    </row>
    <row r="21" spans="1:33" ht="15" customHeight="1" x14ac:dyDescent="0.35">
      <c r="A21" vm="59">
        <f ca="1"/>
        <v>45320</v>
      </c>
      <c r="B21" s="6" vm="60">
        <f ca="1"/>
        <v>409.72</v>
      </c>
      <c r="C21" s="2">
        <f t="shared" ca="1" si="7"/>
        <v>1.4232403946433967E-2</v>
      </c>
      <c r="Z21">
        <v>19</v>
      </c>
      <c r="AA21" s="8">
        <v>5.7818309494830043E-2</v>
      </c>
      <c r="AC21">
        <v>19</v>
      </c>
      <c r="AD21" s="8">
        <v>3.6504086835370687E-2</v>
      </c>
      <c r="AF21">
        <v>19</v>
      </c>
      <c r="AG21" s="8">
        <v>1.5137366650209412E-2</v>
      </c>
    </row>
    <row r="22" spans="1:33" ht="15" customHeight="1" x14ac:dyDescent="0.35">
      <c r="A22" vm="61">
        <f ca="1"/>
        <v>45321</v>
      </c>
      <c r="B22" s="6" vm="62">
        <f ca="1"/>
        <v>408.59</v>
      </c>
      <c r="C22" s="2">
        <f t="shared" ca="1" si="7"/>
        <v>-2.7617912973210194E-3</v>
      </c>
      <c r="Z22">
        <v>20</v>
      </c>
      <c r="AA22" s="8">
        <v>6.4336314225693636E-2</v>
      </c>
      <c r="AC22">
        <v>20</v>
      </c>
      <c r="AD22" s="8">
        <v>4.0828229845721958E-2</v>
      </c>
      <c r="AF22">
        <v>20</v>
      </c>
      <c r="AG22" s="8">
        <v>2.422259731353095E-2</v>
      </c>
    </row>
    <row r="23" spans="1:33" ht="15" customHeight="1" x14ac:dyDescent="0.35">
      <c r="A23" vm="63">
        <f ca="1"/>
        <v>45322</v>
      </c>
      <c r="B23" s="6" vm="64">
        <f ca="1"/>
        <v>397.58</v>
      </c>
      <c r="C23" s="2">
        <f t="shared" ca="1" si="7"/>
        <v>-2.7316036564637654E-2</v>
      </c>
      <c r="Z23">
        <v>21</v>
      </c>
      <c r="AA23" s="8">
        <v>3.5565985968980335E-2</v>
      </c>
      <c r="AC23">
        <v>21</v>
      </c>
      <c r="AD23" s="8">
        <v>7.3586465744660559E-2</v>
      </c>
      <c r="AF23">
        <v>21</v>
      </c>
      <c r="AG23" s="8">
        <v>2.3584761407538388E-2</v>
      </c>
    </row>
    <row r="24" spans="1:33" ht="15" customHeight="1" x14ac:dyDescent="0.35">
      <c r="A24" vm="65">
        <f ca="1"/>
        <v>45323</v>
      </c>
      <c r="B24" s="6" vm="66">
        <f ca="1"/>
        <v>403.78</v>
      </c>
      <c r="C24" s="2">
        <f t="shared" ca="1" si="7"/>
        <v>1.5474003475702406E-2</v>
      </c>
      <c r="Z24">
        <v>22</v>
      </c>
      <c r="AA24" s="8">
        <v>6.507704000067302E-2</v>
      </c>
      <c r="AC24">
        <v>22</v>
      </c>
      <c r="AD24" s="8">
        <v>1.4606617735832401E-2</v>
      </c>
      <c r="AF24">
        <v>22</v>
      </c>
      <c r="AG24" s="8">
        <v>2.2966427277763865E-2</v>
      </c>
    </row>
    <row r="25" spans="1:33" ht="15" customHeight="1" x14ac:dyDescent="0.35">
      <c r="A25" vm="67">
        <f ca="1"/>
        <v>45324</v>
      </c>
      <c r="B25" s="6" vm="68">
        <f ca="1"/>
        <v>411.22</v>
      </c>
      <c r="C25" s="2">
        <f t="shared" ca="1" si="7"/>
        <v>1.825817590837775E-2</v>
      </c>
      <c r="Z25">
        <v>23</v>
      </c>
      <c r="AA25" s="8">
        <v>4.3092849642501242E-2</v>
      </c>
      <c r="AC25">
        <v>23</v>
      </c>
      <c r="AD25" s="8">
        <v>2.1210673484501709E-2</v>
      </c>
      <c r="AF25">
        <v>23</v>
      </c>
      <c r="AG25" s="8">
        <v>2.2565534039644456E-2</v>
      </c>
    </row>
    <row r="26" spans="1:33" ht="15" customHeight="1" x14ac:dyDescent="0.35">
      <c r="A26" vm="69">
        <f ca="1"/>
        <v>45327</v>
      </c>
      <c r="B26" s="6" vm="70">
        <f ca="1"/>
        <v>405.65</v>
      </c>
      <c r="C26" s="2">
        <f t="shared" ca="1" si="7"/>
        <v>-1.3637632249381516E-2</v>
      </c>
      <c r="Z26">
        <v>24</v>
      </c>
      <c r="AA26" s="8">
        <v>2.9039200512974039E-2</v>
      </c>
      <c r="AC26">
        <v>24</v>
      </c>
      <c r="AD26" s="8">
        <v>3.8377409813337551E-2</v>
      </c>
      <c r="AF26">
        <v>24</v>
      </c>
      <c r="AG26" s="8">
        <v>2.3124577535494885E-2</v>
      </c>
    </row>
    <row r="27" spans="1:33" ht="15" customHeight="1" x14ac:dyDescent="0.35">
      <c r="A27" vm="71">
        <f ca="1"/>
        <v>45328</v>
      </c>
      <c r="B27" s="6" vm="72">
        <f ca="1"/>
        <v>405.49</v>
      </c>
      <c r="C27" s="2">
        <f t="shared" ca="1" si="7"/>
        <v>-3.9450650214535268E-4</v>
      </c>
      <c r="Z27">
        <v>25</v>
      </c>
      <c r="AA27" s="8">
        <v>5.371832349895049E-2</v>
      </c>
      <c r="AC27">
        <v>25</v>
      </c>
      <c r="AD27" s="8">
        <v>6.2801970147483691E-2</v>
      </c>
      <c r="AF27">
        <v>25</v>
      </c>
      <c r="AG27" s="8">
        <v>2.3367142261440547E-2</v>
      </c>
    </row>
    <row r="28" spans="1:33" ht="15" customHeight="1" x14ac:dyDescent="0.35">
      <c r="A28" vm="73">
        <f ca="1"/>
        <v>45329</v>
      </c>
      <c r="B28" s="6" vm="74">
        <f ca="1"/>
        <v>414.05</v>
      </c>
      <c r="C28" s="2">
        <f t="shared" ca="1" si="7"/>
        <v>2.0890527140780636E-2</v>
      </c>
      <c r="Z28">
        <v>26</v>
      </c>
      <c r="AA28" s="8">
        <v>3.7217113761647963E-2</v>
      </c>
      <c r="AC28">
        <v>26</v>
      </c>
      <c r="AD28" s="8">
        <v>4.3409100485928602E-2</v>
      </c>
      <c r="AF28">
        <v>26</v>
      </c>
      <c r="AG28" s="8">
        <v>2.3086493790987136E-2</v>
      </c>
    </row>
    <row r="29" spans="1:33" ht="15" customHeight="1" x14ac:dyDescent="0.35">
      <c r="A29" vm="75">
        <f ca="1"/>
        <v>45330</v>
      </c>
      <c r="B29" s="6" vm="76">
        <f ca="1"/>
        <v>414.11</v>
      </c>
      <c r="C29" s="2">
        <f t="shared" ca="1" si="7"/>
        <v>1.4489953657501251E-4</v>
      </c>
      <c r="Z29">
        <v>27</v>
      </c>
      <c r="AA29" s="8">
        <v>1.2155787929087366E-2</v>
      </c>
      <c r="AC29">
        <v>27</v>
      </c>
      <c r="AD29" s="8">
        <v>3.6397238511137679E-2</v>
      </c>
      <c r="AF29">
        <v>27</v>
      </c>
      <c r="AG29" s="8">
        <v>2.4388693890316657E-2</v>
      </c>
    </row>
    <row r="30" spans="1:33" ht="15" customHeight="1" x14ac:dyDescent="0.35">
      <c r="A30" vm="77">
        <f ca="1"/>
        <v>45331</v>
      </c>
      <c r="B30" s="6" vm="78">
        <f ca="1"/>
        <v>420.55</v>
      </c>
      <c r="C30" s="2">
        <f t="shared" ca="1" si="7"/>
        <v>1.5431739392162159E-2</v>
      </c>
      <c r="Z30">
        <v>28</v>
      </c>
      <c r="AA30" s="8">
        <v>4.2789854595038493E-2</v>
      </c>
      <c r="AC30">
        <v>28</v>
      </c>
      <c r="AD30" s="8">
        <v>5.0573314751911687E-2</v>
      </c>
      <c r="AF30">
        <v>28</v>
      </c>
      <c r="AG30" s="8">
        <v>2.3011685366058278E-2</v>
      </c>
    </row>
    <row r="31" spans="1:33" ht="15" customHeight="1" x14ac:dyDescent="0.35">
      <c r="A31" vm="79">
        <f ca="1"/>
        <v>45334</v>
      </c>
      <c r="B31" s="6" vm="80">
        <f ca="1"/>
        <v>415.26</v>
      </c>
      <c r="C31" s="2">
        <f t="shared" ca="1" si="7"/>
        <v>-1.2658548326619347E-2</v>
      </c>
      <c r="Z31">
        <v>29</v>
      </c>
      <c r="AA31" s="8">
        <v>1.7300210227435109E-2</v>
      </c>
      <c r="AC31">
        <v>29</v>
      </c>
      <c r="AD31" s="8">
        <v>3.0683468310445498E-2</v>
      </c>
      <c r="AF31">
        <v>29</v>
      </c>
      <c r="AG31" s="8">
        <v>2.3877614538867335E-2</v>
      </c>
    </row>
    <row r="32" spans="1:33" ht="15" customHeight="1" x14ac:dyDescent="0.35">
      <c r="A32" vm="81">
        <f ca="1"/>
        <v>45335</v>
      </c>
      <c r="B32" s="6" vm="82">
        <f ca="1"/>
        <v>406.32</v>
      </c>
      <c r="C32" s="2">
        <f t="shared" ca="1" si="7"/>
        <v>-2.1763803588837453E-2</v>
      </c>
      <c r="Z32">
        <v>30</v>
      </c>
      <c r="AA32" s="8">
        <v>2.6934661716162749E-2</v>
      </c>
      <c r="AC32">
        <v>30</v>
      </c>
      <c r="AD32" s="8">
        <v>5.463929824232603E-2</v>
      </c>
      <c r="AF32">
        <v>30</v>
      </c>
      <c r="AG32" s="8">
        <v>2.3190245437239628E-2</v>
      </c>
    </row>
    <row r="33" spans="1:33" ht="15" customHeight="1" x14ac:dyDescent="0.35">
      <c r="A33" vm="83">
        <f ca="1"/>
        <v>45336</v>
      </c>
      <c r="B33" s="6" vm="84">
        <f ca="1"/>
        <v>409.49</v>
      </c>
      <c r="C33" s="2">
        <f t="shared" ca="1" si="7"/>
        <v>7.771456477540805E-3</v>
      </c>
      <c r="Z33">
        <v>31</v>
      </c>
      <c r="AA33" s="8">
        <v>2.8016499785185268E-2</v>
      </c>
      <c r="AC33">
        <v>31</v>
      </c>
      <c r="AD33" s="8">
        <v>2.050085832504495E-2</v>
      </c>
      <c r="AF33">
        <v>31</v>
      </c>
      <c r="AG33" s="8">
        <v>2.2000327074816139E-2</v>
      </c>
    </row>
    <row r="34" spans="1:33" ht="15" customHeight="1" x14ac:dyDescent="0.35">
      <c r="A34" vm="85">
        <f ca="1"/>
        <v>45337</v>
      </c>
      <c r="B34" s="6" vm="86">
        <f ca="1"/>
        <v>406.56</v>
      </c>
      <c r="C34" s="2">
        <f t="shared" ca="1" si="7"/>
        <v>-7.1809633986764567E-3</v>
      </c>
      <c r="Z34">
        <v>32</v>
      </c>
      <c r="AA34" s="8">
        <v>5.3841131749370018E-2</v>
      </c>
      <c r="AC34">
        <v>32</v>
      </c>
      <c r="AD34" s="8">
        <v>2.3830405380282072E-2</v>
      </c>
      <c r="AF34">
        <v>32</v>
      </c>
      <c r="AG34" s="8">
        <v>2.3348792353340676E-2</v>
      </c>
    </row>
    <row r="35" spans="1:33" ht="15" customHeight="1" x14ac:dyDescent="0.35">
      <c r="A35" vm="87">
        <f ca="1"/>
        <v>45338</v>
      </c>
      <c r="B35" s="6" vm="88">
        <f ca="1"/>
        <v>404.06</v>
      </c>
      <c r="C35" s="2">
        <f t="shared" ca="1" si="7"/>
        <v>-6.1681377864574562E-3</v>
      </c>
      <c r="F35" t="s">
        <v>32</v>
      </c>
      <c r="M35" s="8" t="s">
        <v>33</v>
      </c>
      <c r="Z35">
        <v>33</v>
      </c>
      <c r="AA35" s="8">
        <v>3.4536109302090091E-2</v>
      </c>
      <c r="AC35">
        <v>33</v>
      </c>
      <c r="AD35" s="8">
        <v>2.6279282805890234E-2</v>
      </c>
      <c r="AF35">
        <v>33</v>
      </c>
      <c r="AG35" s="8">
        <v>2.2382544847444858E-2</v>
      </c>
    </row>
    <row r="36" spans="1:33" ht="15" customHeight="1" x14ac:dyDescent="0.35">
      <c r="A36" vm="89">
        <f ca="1"/>
        <v>45342</v>
      </c>
      <c r="B36" s="6" vm="90">
        <f ca="1"/>
        <v>402.79</v>
      </c>
      <c r="C36" s="2">
        <f t="shared" ca="1" si="7"/>
        <v>-3.148047465649366E-3</v>
      </c>
      <c r="Z36">
        <v>34</v>
      </c>
      <c r="AA36" s="8">
        <v>3.2713538624242644E-2</v>
      </c>
      <c r="AC36">
        <v>34</v>
      </c>
      <c r="AD36" s="8">
        <v>3.6926691068140734E-2</v>
      </c>
      <c r="AF36">
        <v>34</v>
      </c>
      <c r="AG36" s="8">
        <v>2.2676834841091498E-2</v>
      </c>
    </row>
    <row r="37" spans="1:33" ht="15" customHeight="1" x14ac:dyDescent="0.35">
      <c r="A37" vm="91">
        <f ca="1"/>
        <v>45343</v>
      </c>
      <c r="B37" s="6" vm="92">
        <f ca="1"/>
        <v>402.18</v>
      </c>
      <c r="C37" s="2">
        <f t="shared" ca="1" si="7"/>
        <v>-1.5155847218256773E-3</v>
      </c>
      <c r="Z37">
        <v>35</v>
      </c>
      <c r="AA37" s="8">
        <v>6.5848723774195567E-2</v>
      </c>
      <c r="AC37">
        <v>35</v>
      </c>
      <c r="AD37" s="8">
        <v>4.6523762759460303E-2</v>
      </c>
      <c r="AF37">
        <v>35</v>
      </c>
      <c r="AG37" s="8">
        <v>2.2436046074746672E-2</v>
      </c>
    </row>
    <row r="38" spans="1:33" ht="15" customHeight="1" x14ac:dyDescent="0.35">
      <c r="A38" vm="93">
        <f ca="1"/>
        <v>45344</v>
      </c>
      <c r="B38" s="6" vm="94">
        <f ca="1"/>
        <v>411.65</v>
      </c>
      <c r="C38" s="2">
        <f t="shared" ca="1" si="7"/>
        <v>2.3273724146513606E-2</v>
      </c>
      <c r="Z38">
        <v>36</v>
      </c>
      <c r="AA38" s="8">
        <v>4.2892249305389048E-2</v>
      </c>
      <c r="AC38">
        <v>36</v>
      </c>
      <c r="AD38" s="8">
        <v>3.8958340517831556E-2</v>
      </c>
      <c r="AF38">
        <v>36</v>
      </c>
      <c r="AG38" s="8">
        <v>2.3078520973720151E-2</v>
      </c>
    </row>
    <row r="39" spans="1:33" ht="15" customHeight="1" x14ac:dyDescent="0.35">
      <c r="A39" vm="95">
        <f ca="1"/>
        <v>45345</v>
      </c>
      <c r="B39" s="6" vm="96">
        <f ca="1"/>
        <v>410.34</v>
      </c>
      <c r="C39" s="2">
        <f t="shared" ca="1" si="7"/>
        <v>-3.187389406375361E-3</v>
      </c>
      <c r="Z39">
        <v>37</v>
      </c>
      <c r="AA39" s="8">
        <v>1.9208916192971472E-2</v>
      </c>
      <c r="AC39">
        <v>37</v>
      </c>
      <c r="AD39" s="8">
        <v>3.2738876147011473E-2</v>
      </c>
      <c r="AF39">
        <v>37</v>
      </c>
      <c r="AG39" s="8">
        <v>2.3122882390368259E-2</v>
      </c>
    </row>
    <row r="40" spans="1:33" ht="15" customHeight="1" x14ac:dyDescent="0.35">
      <c r="A40" vm="97">
        <f ca="1"/>
        <v>45348</v>
      </c>
      <c r="B40" s="6" vm="98">
        <f ca="1"/>
        <v>407.54</v>
      </c>
      <c r="C40" s="2">
        <f t="shared" ca="1" si="7"/>
        <v>-6.8469969652691139E-3</v>
      </c>
      <c r="Z40">
        <v>38</v>
      </c>
      <c r="AA40" s="8">
        <v>4.7029917568770341E-2</v>
      </c>
      <c r="AC40">
        <v>38</v>
      </c>
      <c r="AD40" s="8">
        <v>4.3992348634462844E-2</v>
      </c>
      <c r="AF40">
        <v>38</v>
      </c>
      <c r="AG40" s="8">
        <v>1.3365979781087584E-2</v>
      </c>
    </row>
    <row r="41" spans="1:33" ht="15" customHeight="1" x14ac:dyDescent="0.35">
      <c r="A41" vm="99">
        <f ca="1"/>
        <v>45349</v>
      </c>
      <c r="B41" s="6" vm="100">
        <f ca="1"/>
        <v>407.48</v>
      </c>
      <c r="C41" s="2">
        <f t="shared" ca="1" si="7"/>
        <v>-1.4723565092484959E-4</v>
      </c>
      <c r="Z41">
        <v>39</v>
      </c>
      <c r="AA41" s="8">
        <v>2.3297755084774125E-2</v>
      </c>
      <c r="AC41">
        <v>39</v>
      </c>
      <c r="AD41" s="8">
        <v>2.5817784106669774E-2</v>
      </c>
      <c r="AF41">
        <v>39</v>
      </c>
      <c r="AG41" s="8">
        <v>2.0968540993170998E-2</v>
      </c>
    </row>
    <row r="42" spans="1:33" ht="15" customHeight="1" x14ac:dyDescent="0.35">
      <c r="A42" vm="101">
        <f ca="1"/>
        <v>45350</v>
      </c>
      <c r="B42" s="6" vm="102">
        <f ca="1"/>
        <v>407.72</v>
      </c>
      <c r="C42" s="2">
        <f t="shared" ca="1" si="7"/>
        <v>5.8881257834643495E-4</v>
      </c>
      <c r="Z42">
        <v>40</v>
      </c>
      <c r="AA42" s="8">
        <v>4.2240163252592819E-2</v>
      </c>
      <c r="AC42">
        <v>40</v>
      </c>
      <c r="AD42" s="8">
        <v>3.3062944568624283E-2</v>
      </c>
      <c r="AF42">
        <v>40</v>
      </c>
      <c r="AG42" s="8">
        <v>2.2537091085809407E-2</v>
      </c>
    </row>
    <row r="43" spans="1:33" ht="15" customHeight="1" x14ac:dyDescent="0.35">
      <c r="A43" vm="103">
        <f ca="1"/>
        <v>45351</v>
      </c>
      <c r="B43" s="6" vm="104">
        <f ca="1"/>
        <v>413.64</v>
      </c>
      <c r="C43" s="2">
        <f t="shared" ca="1" si="7"/>
        <v>1.4415366016562164E-2</v>
      </c>
      <c r="Z43">
        <v>41</v>
      </c>
      <c r="AA43" s="8">
        <v>2.7376989046302501E-2</v>
      </c>
      <c r="AC43">
        <v>41</v>
      </c>
      <c r="AD43" s="8">
        <v>4.7313803760755384E-2</v>
      </c>
      <c r="AF43">
        <v>41</v>
      </c>
      <c r="AG43" s="8">
        <v>2.5413835709799958E-2</v>
      </c>
    </row>
    <row r="44" spans="1:33" ht="15" customHeight="1" x14ac:dyDescent="0.35">
      <c r="A44" vm="105">
        <f ca="1"/>
        <v>45352</v>
      </c>
      <c r="B44" s="6" vm="106">
        <f ca="1"/>
        <v>415.5</v>
      </c>
      <c r="C44" s="2">
        <f t="shared" ca="1" si="7"/>
        <v>4.4865839787285094E-3</v>
      </c>
      <c r="Z44">
        <v>42</v>
      </c>
      <c r="AA44" s="8">
        <v>5.7323049200229167E-2</v>
      </c>
      <c r="AC44">
        <v>42</v>
      </c>
      <c r="AD44" s="8">
        <v>2.9471494726252077E-2</v>
      </c>
      <c r="AF44">
        <v>42</v>
      </c>
      <c r="AG44" s="8">
        <v>2.7623085518702128E-2</v>
      </c>
    </row>
    <row r="45" spans="1:33" ht="15" customHeight="1" x14ac:dyDescent="0.35">
      <c r="A45" vm="107">
        <f ca="1"/>
        <v>45355</v>
      </c>
      <c r="B45" s="6" vm="108">
        <f ca="1"/>
        <v>414.92</v>
      </c>
      <c r="C45" s="2">
        <f t="shared" ca="1" si="7"/>
        <v>-1.3968837318755157E-3</v>
      </c>
      <c r="Z45">
        <v>43</v>
      </c>
      <c r="AA45" s="8">
        <v>3.8517057084149112E-2</v>
      </c>
      <c r="AC45">
        <v>43</v>
      </c>
      <c r="AD45" s="8">
        <v>3.607709282499863E-2</v>
      </c>
      <c r="AF45">
        <v>43</v>
      </c>
      <c r="AG45" s="8">
        <v>2.2122275624510877E-2</v>
      </c>
    </row>
    <row r="46" spans="1:33" ht="15" customHeight="1" x14ac:dyDescent="0.35">
      <c r="A46" vm="109">
        <f ca="1"/>
        <v>45356</v>
      </c>
      <c r="B46" s="6" vm="110">
        <f ca="1"/>
        <v>402.65</v>
      </c>
      <c r="C46" s="2">
        <f t="shared" ca="1" si="7"/>
        <v>-3.0018032322073486E-2</v>
      </c>
      <c r="Z46">
        <v>44</v>
      </c>
      <c r="AA46" s="8">
        <v>4.8052832541076271E-2</v>
      </c>
      <c r="AC46">
        <v>44</v>
      </c>
      <c r="AD46" s="8">
        <v>2.3129332003734002E-2</v>
      </c>
      <c r="AF46">
        <v>44</v>
      </c>
      <c r="AG46" s="8">
        <v>8.9486911738210662E-2</v>
      </c>
    </row>
    <row r="47" spans="1:33" ht="15" customHeight="1" x14ac:dyDescent="0.35">
      <c r="A47" vm="111">
        <f ca="1"/>
        <v>45357</v>
      </c>
      <c r="B47" s="6" vm="112">
        <f ca="1"/>
        <v>402.09</v>
      </c>
      <c r="C47" s="2">
        <f t="shared" ca="1" si="7"/>
        <v>-1.3917540830389475E-3</v>
      </c>
      <c r="Z47">
        <v>45</v>
      </c>
      <c r="AA47" s="8">
        <v>3.1695480989332545E-2</v>
      </c>
      <c r="AC47">
        <v>45</v>
      </c>
      <c r="AD47" s="8">
        <v>4.4505584445946912E-2</v>
      </c>
      <c r="AF47">
        <v>45</v>
      </c>
      <c r="AG47" s="8">
        <v>2.3686713372148806E-2</v>
      </c>
    </row>
    <row r="48" spans="1:33" ht="15" customHeight="1" x14ac:dyDescent="0.35">
      <c r="A48" vm="113">
        <f ca="1"/>
        <v>45358</v>
      </c>
      <c r="B48" s="6" vm="114">
        <f ca="1"/>
        <v>409.14</v>
      </c>
      <c r="C48" s="2">
        <f t="shared" ca="1" si="7"/>
        <v>1.7381451602101673E-2</v>
      </c>
      <c r="Z48">
        <v>46</v>
      </c>
      <c r="AA48" s="8">
        <v>3.4863666919151597E-2</v>
      </c>
      <c r="AC48">
        <v>46</v>
      </c>
      <c r="AD48" s="8">
        <v>3.5118018260890456E-2</v>
      </c>
      <c r="AF48">
        <v>46</v>
      </c>
      <c r="AG48" s="8">
        <v>2.2660997921390688E-2</v>
      </c>
    </row>
    <row r="49" spans="1:33" ht="15" customHeight="1" x14ac:dyDescent="0.35">
      <c r="A49" vm="115">
        <f ca="1"/>
        <v>45359</v>
      </c>
      <c r="B49" s="6" vm="116">
        <f ca="1"/>
        <v>406.22</v>
      </c>
      <c r="C49" s="2">
        <f t="shared" ca="1" si="7"/>
        <v>-7.1625109972767867E-3</v>
      </c>
      <c r="Z49">
        <v>47</v>
      </c>
      <c r="AA49" s="8">
        <v>4.5670629949067239E-2</v>
      </c>
      <c r="AC49">
        <v>47</v>
      </c>
      <c r="AD49" s="8">
        <v>2.7210376174425181E-2</v>
      </c>
      <c r="AF49">
        <v>47</v>
      </c>
      <c r="AG49" s="8">
        <v>2.3193797727534562E-2</v>
      </c>
    </row>
    <row r="50" spans="1:33" ht="15" customHeight="1" x14ac:dyDescent="0.35">
      <c r="A50" vm="117">
        <f ca="1"/>
        <v>45362</v>
      </c>
      <c r="B50" s="6" vm="118">
        <f ca="1"/>
        <v>404.52</v>
      </c>
      <c r="C50" s="2">
        <f t="shared" ca="1" si="7"/>
        <v>-4.1937057293701119E-3</v>
      </c>
      <c r="Z50">
        <v>48</v>
      </c>
      <c r="AA50" s="8">
        <v>2.2644911080521968E-2</v>
      </c>
      <c r="AC50">
        <v>48</v>
      </c>
      <c r="AD50" s="8">
        <v>2.3452547220570982E-2</v>
      </c>
      <c r="AF50">
        <v>48</v>
      </c>
      <c r="AG50" s="8">
        <v>2.3026070544726138E-2</v>
      </c>
    </row>
    <row r="51" spans="1:33" ht="15" customHeight="1" x14ac:dyDescent="0.35">
      <c r="A51" vm="119">
        <f ca="1"/>
        <v>45363</v>
      </c>
      <c r="B51" s="6" vm="120">
        <f ca="1"/>
        <v>415.28</v>
      </c>
      <c r="C51" s="2">
        <f t="shared" ca="1" si="7"/>
        <v>2.6251812485003991E-2</v>
      </c>
      <c r="Z51">
        <v>49</v>
      </c>
      <c r="AA51" s="8">
        <v>4.8403198618463032E-2</v>
      </c>
      <c r="AC51">
        <v>49</v>
      </c>
      <c r="AD51" s="8">
        <v>2.2877474702023715E-2</v>
      </c>
      <c r="AF51">
        <v>49</v>
      </c>
      <c r="AG51" s="8">
        <v>2.2852294090153057E-2</v>
      </c>
    </row>
    <row r="52" spans="1:33" ht="15" customHeight="1" x14ac:dyDescent="0.35">
      <c r="A52" vm="121">
        <f ca="1"/>
        <v>45364</v>
      </c>
      <c r="B52" s="6" vm="122">
        <f ca="1"/>
        <v>415.1</v>
      </c>
      <c r="C52" s="2">
        <f t="shared" ca="1" si="7"/>
        <v>-4.3353645998041806E-4</v>
      </c>
      <c r="Z52">
        <v>50</v>
      </c>
      <c r="AA52" s="8">
        <v>4.5621962912127986E-2</v>
      </c>
      <c r="AC52">
        <v>50</v>
      </c>
      <c r="AD52" s="8">
        <v>3.4826759890854778E-2</v>
      </c>
      <c r="AF52">
        <v>50</v>
      </c>
      <c r="AG52" s="8">
        <v>2.288441106306888E-2</v>
      </c>
    </row>
    <row r="53" spans="1:33" ht="15" customHeight="1" x14ac:dyDescent="0.35">
      <c r="A53" vm="123">
        <f ca="1"/>
        <v>45365</v>
      </c>
      <c r="B53" s="6" vm="124">
        <f ca="1"/>
        <v>425.22</v>
      </c>
      <c r="C53" s="2">
        <f t="shared" ca="1" si="7"/>
        <v>2.408722699122649E-2</v>
      </c>
      <c r="Z53">
        <v>51</v>
      </c>
      <c r="AA53" s="8">
        <v>2.7676647169552822E-2</v>
      </c>
      <c r="AC53">
        <v>51</v>
      </c>
      <c r="AD53" s="8">
        <v>4.5497597883199556E-2</v>
      </c>
      <c r="AF53">
        <v>51</v>
      </c>
      <c r="AG53" s="8">
        <v>2.2098329873528652E-2</v>
      </c>
    </row>
    <row r="54" spans="1:33" ht="15" customHeight="1" x14ac:dyDescent="0.35">
      <c r="A54" vm="125">
        <f ca="1"/>
        <v>45366</v>
      </c>
      <c r="B54" s="6" vm="126">
        <f ca="1"/>
        <v>416.42</v>
      </c>
      <c r="C54" s="2">
        <f t="shared" ca="1" si="7"/>
        <v>-2.0912315723171475E-2</v>
      </c>
      <c r="Z54">
        <v>52</v>
      </c>
      <c r="AA54" s="8">
        <v>6.5273845743433187E-2</v>
      </c>
      <c r="AC54">
        <v>52</v>
      </c>
      <c r="AD54" s="8">
        <v>2.6707793095595414E-2</v>
      </c>
      <c r="AF54">
        <v>52</v>
      </c>
      <c r="AG54" s="8">
        <v>2.3903709652252303E-2</v>
      </c>
    </row>
    <row r="55" spans="1:33" ht="15" customHeight="1" x14ac:dyDescent="0.35">
      <c r="A55" vm="127">
        <f ca="1"/>
        <v>45369</v>
      </c>
      <c r="B55" s="6" vm="128">
        <f ca="1"/>
        <v>417.32</v>
      </c>
      <c r="C55" s="2">
        <f t="shared" ca="1" si="7"/>
        <v>2.1589472727203901E-3</v>
      </c>
      <c r="Z55">
        <v>53</v>
      </c>
      <c r="AA55" s="8">
        <v>1.3356023766138139E-2</v>
      </c>
      <c r="AC55">
        <v>53</v>
      </c>
      <c r="AD55" s="8">
        <v>3.1827585454512142E-2</v>
      </c>
      <c r="AF55">
        <v>53</v>
      </c>
      <c r="AG55" s="8">
        <v>2.2975929308979473E-2</v>
      </c>
    </row>
    <row r="56" spans="1:33" ht="15" customHeight="1" x14ac:dyDescent="0.35">
      <c r="A56" vm="129">
        <f ca="1"/>
        <v>45370</v>
      </c>
      <c r="B56" s="6" vm="130">
        <f ca="1"/>
        <v>421.41</v>
      </c>
      <c r="C56" s="2">
        <f t="shared" ca="1" si="7"/>
        <v>9.752917911159625E-3</v>
      </c>
      <c r="Z56">
        <v>54</v>
      </c>
      <c r="AA56" s="8">
        <v>3.1686467913487559E-2</v>
      </c>
      <c r="AC56">
        <v>54</v>
      </c>
      <c r="AD56" s="8">
        <v>5.8514240214981889E-2</v>
      </c>
      <c r="AF56">
        <v>54</v>
      </c>
      <c r="AG56" s="8">
        <v>2.3358078100710403E-2</v>
      </c>
    </row>
    <row r="57" spans="1:33" ht="15" customHeight="1" x14ac:dyDescent="0.35">
      <c r="A57" vm="131">
        <f ca="1"/>
        <v>45371</v>
      </c>
      <c r="B57" s="6" vm="132">
        <f ca="1"/>
        <v>425.23</v>
      </c>
      <c r="C57" s="2">
        <f t="shared" ca="1" si="7"/>
        <v>9.0239675009012085E-3</v>
      </c>
      <c r="Z57">
        <v>55</v>
      </c>
      <c r="AA57" s="8">
        <v>4.1267705770995013E-2</v>
      </c>
      <c r="AC57">
        <v>55</v>
      </c>
      <c r="AD57" s="8">
        <v>3.4423326497336676E-2</v>
      </c>
      <c r="AF57">
        <v>55</v>
      </c>
      <c r="AG57" s="8">
        <v>2.3500522377014329E-2</v>
      </c>
    </row>
    <row r="58" spans="1:33" ht="15" customHeight="1" x14ac:dyDescent="0.35">
      <c r="A58" vm="133">
        <f ca="1"/>
        <v>45372</v>
      </c>
      <c r="B58" s="6" vm="134">
        <f ca="1"/>
        <v>429.37</v>
      </c>
      <c r="C58" s="2">
        <f t="shared" ca="1" si="7"/>
        <v>9.6888190643773398E-3</v>
      </c>
      <c r="Z58">
        <v>56</v>
      </c>
      <c r="AA58" s="8">
        <v>2.7673101917948535E-2</v>
      </c>
      <c r="AC58">
        <v>56</v>
      </c>
      <c r="AD58" s="8">
        <v>3.6825390210204839E-2</v>
      </c>
      <c r="AF58">
        <v>56</v>
      </c>
      <c r="AG58" s="8">
        <v>2.2234296976977184E-2</v>
      </c>
    </row>
    <row r="59" spans="1:33" ht="15" customHeight="1" x14ac:dyDescent="0.35">
      <c r="A59" vm="135">
        <f ca="1"/>
        <v>45373</v>
      </c>
      <c r="B59" s="6" vm="136">
        <f ca="1"/>
        <v>428.74</v>
      </c>
      <c r="C59" s="2">
        <f t="shared" ca="1" si="7"/>
        <v>-1.4683434832171145E-3</v>
      </c>
      <c r="Z59">
        <v>57</v>
      </c>
      <c r="AA59" s="8">
        <v>4.913913065218365E-2</v>
      </c>
      <c r="AC59">
        <v>57</v>
      </c>
      <c r="AD59" s="8">
        <v>2.6768774502623341E-2</v>
      </c>
      <c r="AF59">
        <v>57</v>
      </c>
      <c r="AG59" s="8">
        <v>2.3089870000939691E-2</v>
      </c>
    </row>
    <row r="60" spans="1:33" ht="15" customHeight="1" x14ac:dyDescent="0.35">
      <c r="A60" vm="137">
        <f ca="1"/>
        <v>45376</v>
      </c>
      <c r="B60" s="6" vm="138">
        <f ca="1"/>
        <v>422.86</v>
      </c>
      <c r="C60" s="2">
        <f t="shared" ca="1" si="7"/>
        <v>-1.3809519596266801E-2</v>
      </c>
      <c r="Z60">
        <v>58</v>
      </c>
      <c r="AA60" s="8">
        <v>2.7726123245654176E-2</v>
      </c>
      <c r="AC60">
        <v>58</v>
      </c>
      <c r="AD60" s="8">
        <v>2.9011802136024036E-2</v>
      </c>
      <c r="AF60">
        <v>58</v>
      </c>
      <c r="AG60" s="8">
        <v>2.3409710081715097E-2</v>
      </c>
    </row>
    <row r="61" spans="1:33" ht="15" customHeight="1" x14ac:dyDescent="0.35">
      <c r="A61" vm="139">
        <f ca="1"/>
        <v>45377</v>
      </c>
      <c r="B61" s="6" vm="140">
        <f ca="1"/>
        <v>421.65</v>
      </c>
      <c r="C61" s="2">
        <f t="shared" ca="1" si="7"/>
        <v>-2.8655689760722909E-3</v>
      </c>
      <c r="Z61">
        <v>59</v>
      </c>
      <c r="AA61" s="8">
        <v>2.635717028274024E-2</v>
      </c>
      <c r="AC61">
        <v>59</v>
      </c>
      <c r="AD61" s="8">
        <v>2.8474412766234945E-2</v>
      </c>
      <c r="AF61">
        <v>59</v>
      </c>
      <c r="AG61" s="8">
        <v>2.3122937673458178E-2</v>
      </c>
    </row>
    <row r="62" spans="1:33" ht="15" customHeight="1" x14ac:dyDescent="0.35">
      <c r="A62" vm="141">
        <f ca="1"/>
        <v>45378</v>
      </c>
      <c r="B62" s="6" vm="142">
        <f ca="1"/>
        <v>421.43</v>
      </c>
      <c r="C62" s="2">
        <f t="shared" ca="1" si="7"/>
        <v>-5.2189591733531912E-4</v>
      </c>
      <c r="Z62">
        <v>60</v>
      </c>
      <c r="AA62" s="8">
        <v>5.363721908426429E-2</v>
      </c>
      <c r="AC62">
        <v>60</v>
      </c>
      <c r="AD62" s="8">
        <v>3.8489624725610794E-2</v>
      </c>
      <c r="AF62">
        <v>60</v>
      </c>
      <c r="AG62" s="8">
        <v>2.3367985103019052E-2</v>
      </c>
    </row>
    <row r="63" spans="1:33" ht="15" customHeight="1" x14ac:dyDescent="0.35">
      <c r="A63" vm="143">
        <f ca="1"/>
        <v>45379</v>
      </c>
      <c r="B63" s="6" vm="144">
        <f ca="1"/>
        <v>420.72</v>
      </c>
      <c r="C63" s="2">
        <f t="shared" ca="1" si="7"/>
        <v>-1.6861608222264114E-3</v>
      </c>
      <c r="Z63">
        <v>61</v>
      </c>
      <c r="AA63" s="8">
        <v>1.4293254693087181E-2</v>
      </c>
      <c r="AC63">
        <v>61</v>
      </c>
      <c r="AD63" s="8">
        <v>6.2617782917739492E-2</v>
      </c>
      <c r="AF63">
        <v>61</v>
      </c>
      <c r="AG63" s="8">
        <v>2.3866449044904061E-2</v>
      </c>
    </row>
    <row r="64" spans="1:33" ht="15" customHeight="1" x14ac:dyDescent="0.35">
      <c r="A64" vm="145">
        <f ca="1"/>
        <v>45383</v>
      </c>
      <c r="B64" s="6" vm="146">
        <f ca="1"/>
        <v>424.57</v>
      </c>
      <c r="C64" s="2">
        <f t="shared" ca="1" si="7"/>
        <v>9.1093627580365304E-3</v>
      </c>
      <c r="Z64">
        <v>62</v>
      </c>
      <c r="AA64" s="8">
        <v>2.3181694016966244E-2</v>
      </c>
      <c r="AC64">
        <v>62</v>
      </c>
      <c r="AD64" s="8">
        <v>1.3647741046016465E-2</v>
      </c>
      <c r="AF64">
        <v>62</v>
      </c>
      <c r="AG64" s="8">
        <v>2.2936963730064455E-2</v>
      </c>
    </row>
    <row r="65" spans="1:33" ht="15" customHeight="1" x14ac:dyDescent="0.35">
      <c r="A65" vm="147">
        <f ca="1"/>
        <v>45384</v>
      </c>
      <c r="B65" s="6" vm="148">
        <f ca="1"/>
        <v>421.44</v>
      </c>
      <c r="C65" s="2">
        <f t="shared" ca="1" si="7"/>
        <v>-7.399473484209081E-3</v>
      </c>
      <c r="Z65">
        <v>63</v>
      </c>
      <c r="AA65" s="8">
        <v>2.3686537623807871E-2</v>
      </c>
      <c r="AC65">
        <v>63</v>
      </c>
      <c r="AD65" s="8">
        <v>2.5549611771370294E-2</v>
      </c>
      <c r="AF65">
        <v>63</v>
      </c>
      <c r="AG65" s="8">
        <v>2.3285262077627322E-2</v>
      </c>
    </row>
    <row r="66" spans="1:33" ht="15" customHeight="1" x14ac:dyDescent="0.35">
      <c r="A66" vm="149">
        <f ca="1"/>
        <v>45385</v>
      </c>
      <c r="B66" s="6" vm="150">
        <f ca="1"/>
        <v>420.45</v>
      </c>
      <c r="C66" s="2">
        <f t="shared" ca="1" si="7"/>
        <v>-2.3518522760092378E-3</v>
      </c>
      <c r="Z66">
        <v>64</v>
      </c>
      <c r="AA66" s="8">
        <v>3.7197862095335973E-2</v>
      </c>
      <c r="AC66">
        <v>64</v>
      </c>
      <c r="AD66" s="8">
        <v>2.5302946534953311E-2</v>
      </c>
      <c r="AF66">
        <v>64</v>
      </c>
      <c r="AG66" s="8">
        <v>2.2657992210407676E-2</v>
      </c>
    </row>
    <row r="67" spans="1:33" ht="15" customHeight="1" x14ac:dyDescent="0.35">
      <c r="A67" vm="151">
        <f ca="1"/>
        <v>45386</v>
      </c>
      <c r="B67" s="6" vm="152">
        <f ca="1"/>
        <v>417.88</v>
      </c>
      <c r="C67" s="2">
        <f t="shared" ca="1" si="7"/>
        <v>-6.1312563095996895E-3</v>
      </c>
      <c r="Z67">
        <v>65</v>
      </c>
      <c r="AA67" s="8">
        <v>3.1650674095497815E-2</v>
      </c>
      <c r="AC67">
        <v>65</v>
      </c>
      <c r="AD67" s="8">
        <v>5.0313234132250556E-2</v>
      </c>
      <c r="AF67">
        <v>65</v>
      </c>
      <c r="AG67" s="8">
        <v>2.3608417310004695E-2</v>
      </c>
    </row>
    <row r="68" spans="1:33" ht="15" customHeight="1" x14ac:dyDescent="0.35">
      <c r="A68" vm="153">
        <f ca="1"/>
        <v>45387</v>
      </c>
      <c r="B68" s="6" vm="154">
        <f ca="1"/>
        <v>425.52</v>
      </c>
      <c r="C68" s="2">
        <f t="shared" ca="1" si="7"/>
        <v>1.8117640464754954E-2</v>
      </c>
      <c r="Z68">
        <v>66</v>
      </c>
      <c r="AA68" s="8">
        <v>1.5500804809578999E-2</v>
      </c>
      <c r="AC68">
        <v>66</v>
      </c>
      <c r="AD68" s="8">
        <v>3.6900993007912247E-2</v>
      </c>
      <c r="AF68">
        <v>66</v>
      </c>
      <c r="AG68" s="8">
        <v>2.1883371454211365E-2</v>
      </c>
    </row>
    <row r="69" spans="1:33" ht="15" customHeight="1" x14ac:dyDescent="0.35">
      <c r="A69" vm="155">
        <f ca="1"/>
        <v>45390</v>
      </c>
      <c r="B69" s="6" vm="156">
        <f ca="1"/>
        <v>424.59</v>
      </c>
      <c r="C69" s="2">
        <f t="shared" ca="1" si="7"/>
        <v>-2.1879530202048776E-3</v>
      </c>
      <c r="Z69">
        <v>67</v>
      </c>
      <c r="AA69" s="8">
        <v>1.6534254852406956E-2</v>
      </c>
      <c r="AC69">
        <v>67</v>
      </c>
      <c r="AD69" s="8">
        <v>2.0900001166590403E-2</v>
      </c>
      <c r="AF69">
        <v>67</v>
      </c>
      <c r="AG69" s="8">
        <v>2.2654515912899711E-2</v>
      </c>
    </row>
    <row r="70" spans="1:33" ht="15" customHeight="1" x14ac:dyDescent="0.35">
      <c r="A70" vm="157">
        <f ca="1"/>
        <v>45391</v>
      </c>
      <c r="B70" s="6" vm="158">
        <f ca="1"/>
        <v>426.28</v>
      </c>
      <c r="C70" s="2">
        <f t="shared" ref="C70:C133" ca="1" si="8">IFERROR(LN(B70/B69),C69)</f>
        <v>3.9724099388982531E-3</v>
      </c>
      <c r="Z70">
        <v>68</v>
      </c>
      <c r="AA70" s="8">
        <v>1.6729635696045846E-2</v>
      </c>
      <c r="AC70">
        <v>68</v>
      </c>
      <c r="AD70" s="8">
        <v>2.8958097178120614E-2</v>
      </c>
      <c r="AF70">
        <v>68</v>
      </c>
      <c r="AG70" s="8">
        <v>2.4191844164115298E-2</v>
      </c>
    </row>
    <row r="71" spans="1:33" ht="15" customHeight="1" x14ac:dyDescent="0.35">
      <c r="A71" vm="159">
        <f ca="1"/>
        <v>45392</v>
      </c>
      <c r="B71" s="6" vm="160">
        <f ca="1"/>
        <v>423.26</v>
      </c>
      <c r="C71" s="2">
        <f t="shared" ca="1" si="8"/>
        <v>-7.1097599204478119E-3</v>
      </c>
      <c r="Z71">
        <v>69</v>
      </c>
      <c r="AA71" s="8">
        <v>5.8584051125218584E-2</v>
      </c>
      <c r="AC71">
        <v>69</v>
      </c>
      <c r="AD71" s="8">
        <v>3.6489836728400088E-2</v>
      </c>
      <c r="AF71">
        <v>69</v>
      </c>
      <c r="AG71" s="8">
        <v>2.3248306780900552E-2</v>
      </c>
    </row>
    <row r="72" spans="1:33" ht="15" customHeight="1" x14ac:dyDescent="0.35">
      <c r="A72" vm="161">
        <f ca="1"/>
        <v>45393</v>
      </c>
      <c r="B72" s="6" vm="162">
        <f ca="1"/>
        <v>427.93</v>
      </c>
      <c r="C72" s="2">
        <f t="shared" ca="1" si="8"/>
        <v>1.0972983371631011E-2</v>
      </c>
      <c r="Z72">
        <v>70</v>
      </c>
      <c r="AA72" s="8">
        <v>5.2714496840654525E-2</v>
      </c>
      <c r="AC72">
        <v>70</v>
      </c>
      <c r="AD72" s="8">
        <v>2.7014979900500728E-2</v>
      </c>
      <c r="AF72">
        <v>70</v>
      </c>
      <c r="AG72" s="8">
        <v>2.3170158425416979E-2</v>
      </c>
    </row>
    <row r="73" spans="1:33" ht="15" customHeight="1" x14ac:dyDescent="0.35">
      <c r="A73" vm="163">
        <f ca="1"/>
        <v>45394</v>
      </c>
      <c r="B73" s="6" vm="164">
        <f ca="1"/>
        <v>421.9</v>
      </c>
      <c r="C73" s="2">
        <f t="shared" ca="1" si="8"/>
        <v>-1.4191311673645719E-2</v>
      </c>
      <c r="Z73">
        <v>71</v>
      </c>
      <c r="AA73" s="8">
        <v>4.7628915011710446E-2</v>
      </c>
      <c r="AC73">
        <v>71</v>
      </c>
      <c r="AD73" s="8">
        <v>2.7633969251506792E-2</v>
      </c>
      <c r="AF73">
        <v>71</v>
      </c>
      <c r="AG73" s="8">
        <v>2.342927793430568E-2</v>
      </c>
    </row>
    <row r="74" spans="1:33" ht="15" customHeight="1" x14ac:dyDescent="0.35">
      <c r="A74" vm="165">
        <f ca="1"/>
        <v>45397</v>
      </c>
      <c r="B74" s="6" vm="104">
        <f ca="1"/>
        <v>413.64</v>
      </c>
      <c r="C74" s="2">
        <f t="shared" ca="1" si="8"/>
        <v>-1.9772288813518706E-2</v>
      </c>
      <c r="Z74">
        <v>72</v>
      </c>
      <c r="AA74" s="8">
        <v>4.0987546235318827E-2</v>
      </c>
      <c r="AC74">
        <v>72</v>
      </c>
      <c r="AD74" s="8">
        <v>2.6230654942276721E-2</v>
      </c>
      <c r="AF74">
        <v>72</v>
      </c>
      <c r="AG74" s="8">
        <v>2.2964084098270311E-2</v>
      </c>
    </row>
    <row r="75" spans="1:33" ht="15" customHeight="1" x14ac:dyDescent="0.35">
      <c r="A75" vm="166">
        <f ca="1"/>
        <v>45398</v>
      </c>
      <c r="B75" s="6" vm="167">
        <f ca="1"/>
        <v>414.58</v>
      </c>
      <c r="C75" s="2">
        <f t="shared" ca="1" si="8"/>
        <v>2.2699292545909308E-3</v>
      </c>
      <c r="Z75">
        <v>73</v>
      </c>
      <c r="AA75" s="8">
        <v>5.6646452531487132E-2</v>
      </c>
      <c r="AC75">
        <v>73</v>
      </c>
      <c r="AD75" s="8">
        <v>5.4776340040404235E-2</v>
      </c>
      <c r="AF75">
        <v>73</v>
      </c>
      <c r="AG75" s="8">
        <v>2.2762049312959776E-2</v>
      </c>
    </row>
    <row r="76" spans="1:33" ht="15" customHeight="1" x14ac:dyDescent="0.35">
      <c r="A76" vm="168">
        <f ca="1"/>
        <v>45399</v>
      </c>
      <c r="B76" s="6" vm="169">
        <f ca="1"/>
        <v>411.84</v>
      </c>
      <c r="C76" s="2">
        <f t="shared" ca="1" si="8"/>
        <v>-6.6310351636034003E-3</v>
      </c>
      <c r="Z76">
        <v>74</v>
      </c>
      <c r="AA76" s="8">
        <v>2.1086071195465315E-2</v>
      </c>
      <c r="AC76">
        <v>74</v>
      </c>
      <c r="AD76" s="8">
        <v>1.5728490609428058E-2</v>
      </c>
      <c r="AF76">
        <v>74</v>
      </c>
      <c r="AG76" s="8">
        <v>2.3496748081603038E-2</v>
      </c>
    </row>
    <row r="77" spans="1:33" ht="15" customHeight="1" x14ac:dyDescent="0.35">
      <c r="A77" vm="170">
        <f ca="1"/>
        <v>45400</v>
      </c>
      <c r="B77" s="6" vm="171">
        <f ca="1"/>
        <v>404.27</v>
      </c>
      <c r="C77" s="2">
        <f t="shared" ca="1" si="8"/>
        <v>-1.8551952839171586E-2</v>
      </c>
      <c r="Z77">
        <v>75</v>
      </c>
      <c r="AA77" s="8">
        <v>3.1898241836998145E-2</v>
      </c>
      <c r="AC77">
        <v>75</v>
      </c>
      <c r="AD77" s="8">
        <v>1.9058685282175625E-2</v>
      </c>
      <c r="AF77">
        <v>75</v>
      </c>
      <c r="AG77" s="8">
        <v>2.3160657267063969E-2</v>
      </c>
    </row>
    <row r="78" spans="1:33" ht="15" customHeight="1" x14ac:dyDescent="0.35">
      <c r="A78" vm="172">
        <f ca="1"/>
        <v>45401</v>
      </c>
      <c r="B78" s="6" vm="173">
        <f ca="1"/>
        <v>399.12</v>
      </c>
      <c r="C78" s="2">
        <f t="shared" ca="1" si="8"/>
        <v>-1.2820848015808328E-2</v>
      </c>
      <c r="Z78">
        <v>76</v>
      </c>
      <c r="AA78" s="8">
        <v>2.3878313187191549E-2</v>
      </c>
      <c r="AC78">
        <v>76</v>
      </c>
      <c r="AD78" s="8">
        <v>3.1867958858349504E-2</v>
      </c>
      <c r="AF78">
        <v>76</v>
      </c>
      <c r="AG78" s="8">
        <v>2.8239482029584276E-2</v>
      </c>
    </row>
    <row r="79" spans="1:33" ht="15" customHeight="1" x14ac:dyDescent="0.35">
      <c r="A79" vm="174">
        <f ca="1"/>
        <v>45404</v>
      </c>
      <c r="B79" s="6" vm="175">
        <f ca="1"/>
        <v>400.96</v>
      </c>
      <c r="C79" s="2">
        <f t="shared" ca="1" si="8"/>
        <v>4.5995481549214083E-3</v>
      </c>
      <c r="Z79">
        <v>77</v>
      </c>
      <c r="AA79" s="8">
        <v>1.7880990257566554E-2</v>
      </c>
      <c r="AC79">
        <v>77</v>
      </c>
      <c r="AD79" s="8">
        <v>5.0898126800788535E-2</v>
      </c>
      <c r="AF79">
        <v>77</v>
      </c>
      <c r="AG79" s="8">
        <v>2.3109664375525318E-2</v>
      </c>
    </row>
    <row r="80" spans="1:33" ht="15" customHeight="1" x14ac:dyDescent="0.35">
      <c r="A80" vm="176">
        <f ca="1"/>
        <v>45405</v>
      </c>
      <c r="B80" s="6" vm="177">
        <f ca="1"/>
        <v>407.57</v>
      </c>
      <c r="C80" s="2">
        <f t="shared" ca="1" si="8"/>
        <v>1.6351025361971049E-2</v>
      </c>
      <c r="Z80">
        <v>78</v>
      </c>
      <c r="AA80" s="8">
        <v>1.4799504839739016E-2</v>
      </c>
      <c r="AC80">
        <v>78</v>
      </c>
      <c r="AD80" s="8">
        <v>3.6482663624367716E-2</v>
      </c>
      <c r="AF80">
        <v>78</v>
      </c>
      <c r="AG80" s="8">
        <v>2.267785331133132E-2</v>
      </c>
    </row>
    <row r="81" spans="1:33" ht="15" customHeight="1" x14ac:dyDescent="0.35">
      <c r="A81" vm="178">
        <f ca="1"/>
        <v>45406</v>
      </c>
      <c r="B81" s="6" vm="179">
        <f ca="1"/>
        <v>409.06</v>
      </c>
      <c r="C81" s="2">
        <f t="shared" ca="1" si="8"/>
        <v>3.6491474803457564E-3</v>
      </c>
      <c r="Z81">
        <v>79</v>
      </c>
      <c r="AA81" s="8">
        <v>2.3958859175427623E-2</v>
      </c>
      <c r="AC81">
        <v>79</v>
      </c>
      <c r="AD81" s="8">
        <v>4.6010732455890338E-2</v>
      </c>
      <c r="AF81">
        <v>79</v>
      </c>
      <c r="AG81" s="8">
        <v>2.3564929723149386E-2</v>
      </c>
    </row>
    <row r="82" spans="1:33" ht="15" customHeight="1" x14ac:dyDescent="0.35">
      <c r="A82" vm="180">
        <f ca="1"/>
        <v>45407</v>
      </c>
      <c r="B82" s="6" vm="181">
        <f ca="1"/>
        <v>399.04</v>
      </c>
      <c r="C82" s="2">
        <f t="shared" ca="1" si="8"/>
        <v>-2.4800182058348587E-2</v>
      </c>
      <c r="Z82">
        <v>80</v>
      </c>
      <c r="AA82" s="8">
        <v>1.7420458613485363E-2</v>
      </c>
      <c r="AC82">
        <v>80</v>
      </c>
      <c r="AD82" s="8">
        <v>1.9296489687152616E-2</v>
      </c>
      <c r="AF82">
        <v>80</v>
      </c>
      <c r="AG82" s="8">
        <v>2.1406250924500228E-2</v>
      </c>
    </row>
    <row r="83" spans="1:33" ht="15" customHeight="1" x14ac:dyDescent="0.35">
      <c r="A83" vm="182">
        <f ca="1"/>
        <v>45408</v>
      </c>
      <c r="B83" s="6" vm="82">
        <f ca="1"/>
        <v>406.32</v>
      </c>
      <c r="C83" s="2">
        <f t="shared" ca="1" si="8"/>
        <v>1.8079364001317953E-2</v>
      </c>
      <c r="Z83">
        <v>81</v>
      </c>
      <c r="AA83" s="8">
        <v>2.0875069576946511E-2</v>
      </c>
      <c r="AC83">
        <v>81</v>
      </c>
      <c r="AD83" s="8">
        <v>5.6747451739928748E-2</v>
      </c>
      <c r="AF83">
        <v>81</v>
      </c>
      <c r="AG83" s="8">
        <v>2.3615008524023973E-2</v>
      </c>
    </row>
    <row r="84" spans="1:33" ht="15" customHeight="1" x14ac:dyDescent="0.35">
      <c r="A84" vm="183">
        <f ca="1"/>
        <v>45411</v>
      </c>
      <c r="B84" s="6" vm="184">
        <f ca="1"/>
        <v>402.25</v>
      </c>
      <c r="C84" s="2">
        <f t="shared" ca="1" si="8"/>
        <v>-1.0067240620496958E-2</v>
      </c>
      <c r="Z84">
        <v>82</v>
      </c>
      <c r="AA84" s="8">
        <v>1.9889796368929985E-2</v>
      </c>
      <c r="AC84">
        <v>82</v>
      </c>
      <c r="AD84" s="8">
        <v>4.5559230333479202E-2</v>
      </c>
      <c r="AF84">
        <v>82</v>
      </c>
      <c r="AG84" s="8">
        <v>2.3334296241011573E-2</v>
      </c>
    </row>
    <row r="85" spans="1:33" ht="15" customHeight="1" x14ac:dyDescent="0.35">
      <c r="A85" vm="185">
        <f ca="1"/>
        <v>45412</v>
      </c>
      <c r="B85" s="6" vm="186">
        <f ca="1"/>
        <v>389.33</v>
      </c>
      <c r="C85" s="2">
        <f t="shared" ca="1" si="8"/>
        <v>-3.2646472832916627E-2</v>
      </c>
      <c r="Z85">
        <v>83</v>
      </c>
      <c r="AA85" s="8">
        <v>2.0531526357489917E-2</v>
      </c>
      <c r="AC85">
        <v>83</v>
      </c>
      <c r="AD85" s="8">
        <v>6.5039761953232592E-2</v>
      </c>
      <c r="AF85">
        <v>83</v>
      </c>
      <c r="AG85" s="8">
        <v>2.3067684896698411E-2</v>
      </c>
    </row>
    <row r="86" spans="1:33" ht="15" customHeight="1" x14ac:dyDescent="0.35">
      <c r="A86" vm="187">
        <f ca="1"/>
        <v>45413</v>
      </c>
      <c r="B86" s="6" vm="188">
        <f ca="1"/>
        <v>394.94</v>
      </c>
      <c r="C86" s="2">
        <f t="shared" ca="1" si="8"/>
        <v>1.4306541589587678E-2</v>
      </c>
      <c r="Z86">
        <v>84</v>
      </c>
      <c r="AA86" s="8">
        <v>3.9697612496535063E-2</v>
      </c>
      <c r="AC86">
        <v>84</v>
      </c>
      <c r="AD86" s="8">
        <v>5.6956360067093786E-2</v>
      </c>
      <c r="AF86">
        <v>84</v>
      </c>
      <c r="AG86" s="8">
        <v>2.2253302717515355E-2</v>
      </c>
    </row>
    <row r="87" spans="1:33" ht="15" customHeight="1" x14ac:dyDescent="0.35">
      <c r="A87" vm="189">
        <f ca="1"/>
        <v>45414</v>
      </c>
      <c r="B87" s="6" vm="190">
        <f ca="1"/>
        <v>397.84</v>
      </c>
      <c r="C87" s="2">
        <f t="shared" ca="1" si="8"/>
        <v>7.3160597773194802E-3</v>
      </c>
      <c r="Z87">
        <v>85</v>
      </c>
      <c r="AA87" s="8">
        <v>1.3090987036246064E-2</v>
      </c>
      <c r="AC87">
        <v>85</v>
      </c>
      <c r="AD87" s="8">
        <v>2.4561473389125732E-2</v>
      </c>
      <c r="AF87">
        <v>85</v>
      </c>
      <c r="AG87" s="8">
        <v>2.3350296073398148E-2</v>
      </c>
    </row>
    <row r="88" spans="1:33" ht="15" customHeight="1" x14ac:dyDescent="0.35">
      <c r="A88" vm="191">
        <f ca="1"/>
        <v>45415</v>
      </c>
      <c r="B88" s="6" vm="192">
        <f ca="1"/>
        <v>406.66</v>
      </c>
      <c r="C88" s="2">
        <f t="shared" ca="1" si="8"/>
        <v>2.1927541075712598E-2</v>
      </c>
      <c r="Z88">
        <v>86</v>
      </c>
      <c r="AA88" s="8">
        <v>2.1760842320158631E-2</v>
      </c>
      <c r="AC88">
        <v>86</v>
      </c>
      <c r="AD88" s="8">
        <v>2.5206730323927586E-2</v>
      </c>
      <c r="AF88">
        <v>86</v>
      </c>
      <c r="AG88" s="8">
        <v>2.4317120751812648E-2</v>
      </c>
    </row>
    <row r="89" spans="1:33" ht="15" customHeight="1" x14ac:dyDescent="0.35">
      <c r="A89" vm="193">
        <f ca="1"/>
        <v>45418</v>
      </c>
      <c r="B89" s="6" vm="194">
        <f ca="1"/>
        <v>413.54</v>
      </c>
      <c r="C89" s="2">
        <f t="shared" ca="1" si="8"/>
        <v>1.6776789490428306E-2</v>
      </c>
      <c r="Z89">
        <v>87</v>
      </c>
      <c r="AA89" s="8">
        <v>7.2171448992350951E-2</v>
      </c>
      <c r="AC89">
        <v>87</v>
      </c>
      <c r="AD89" s="8">
        <v>2.7099759514884292E-2</v>
      </c>
      <c r="AF89">
        <v>87</v>
      </c>
      <c r="AG89" s="8">
        <v>2.2976273660153132E-2</v>
      </c>
    </row>
    <row r="90" spans="1:33" ht="15" customHeight="1" x14ac:dyDescent="0.35">
      <c r="A90" vm="195">
        <f ca="1"/>
        <v>45419</v>
      </c>
      <c r="B90" s="6" vm="196">
        <f ca="1"/>
        <v>409.34</v>
      </c>
      <c r="C90" s="2">
        <f t="shared" ca="1" si="8"/>
        <v>-1.0208138421320798E-2</v>
      </c>
      <c r="Z90">
        <v>88</v>
      </c>
      <c r="AA90" s="8">
        <v>4.4497437986369764E-2</v>
      </c>
      <c r="AC90">
        <v>88</v>
      </c>
      <c r="AD90" s="8">
        <v>2.2215336675013412E-2</v>
      </c>
      <c r="AF90">
        <v>88</v>
      </c>
      <c r="AG90" s="8">
        <v>2.3186753488728947E-2</v>
      </c>
    </row>
    <row r="91" spans="1:33" ht="15" customHeight="1" x14ac:dyDescent="0.35">
      <c r="A91" vm="197">
        <f ca="1"/>
        <v>45420</v>
      </c>
      <c r="B91" s="6" vm="198">
        <f ca="1"/>
        <v>410.54</v>
      </c>
      <c r="C91" s="2">
        <f t="shared" ca="1" si="8"/>
        <v>2.9272597377296736E-3</v>
      </c>
      <c r="Z91">
        <v>89</v>
      </c>
      <c r="AA91" s="8">
        <v>2.3065195375850767E-2</v>
      </c>
      <c r="AC91">
        <v>89</v>
      </c>
      <c r="AD91" s="8">
        <v>2.9523298447328795E-2</v>
      </c>
      <c r="AF91">
        <v>89</v>
      </c>
      <c r="AG91" s="8">
        <v>2.3016405996511394E-2</v>
      </c>
    </row>
    <row r="92" spans="1:33" ht="15" customHeight="1" x14ac:dyDescent="0.35">
      <c r="A92" vm="199">
        <f ca="1"/>
        <v>45421</v>
      </c>
      <c r="B92" s="6" vm="200">
        <f ca="1"/>
        <v>412.32</v>
      </c>
      <c r="C92" s="2">
        <f t="shared" ca="1" si="8"/>
        <v>4.3263806150221056E-3</v>
      </c>
      <c r="Z92">
        <v>90</v>
      </c>
      <c r="AA92" s="8">
        <v>8.3850049725078951E-2</v>
      </c>
      <c r="AC92">
        <v>90</v>
      </c>
      <c r="AD92" s="8">
        <v>3.1991283300837545E-2</v>
      </c>
      <c r="AF92">
        <v>90</v>
      </c>
      <c r="AG92" s="8">
        <v>2.3918067740392089E-2</v>
      </c>
    </row>
    <row r="93" spans="1:33" ht="15" customHeight="1" x14ac:dyDescent="0.35">
      <c r="A93" vm="201">
        <f ca="1"/>
        <v>45422</v>
      </c>
      <c r="B93" s="6" vm="202">
        <f ca="1"/>
        <v>414.74</v>
      </c>
      <c r="C93" s="2">
        <f t="shared" ca="1" si="8"/>
        <v>5.8520709656395336E-3</v>
      </c>
      <c r="Z93">
        <v>91</v>
      </c>
      <c r="AA93" s="8">
        <v>2.8724338127671965E-2</v>
      </c>
      <c r="AC93">
        <v>91</v>
      </c>
      <c r="AD93" s="8">
        <v>1.5386014136605574E-2</v>
      </c>
      <c r="AF93">
        <v>91</v>
      </c>
      <c r="AG93" s="8">
        <v>2.3677026194671814E-2</v>
      </c>
    </row>
    <row r="94" spans="1:33" ht="15" customHeight="1" x14ac:dyDescent="0.35">
      <c r="A94" vm="203">
        <f ca="1"/>
        <v>45425</v>
      </c>
      <c r="B94" s="6" vm="204">
        <f ca="1"/>
        <v>413.72</v>
      </c>
      <c r="C94" s="2">
        <f t="shared" ca="1" si="8"/>
        <v>-2.4624013600913681E-3</v>
      </c>
      <c r="Z94">
        <v>92</v>
      </c>
      <c r="AA94" s="8">
        <v>5.97341608444538E-2</v>
      </c>
      <c r="AC94">
        <v>92</v>
      </c>
      <c r="AD94" s="8">
        <v>2.9751578966912665E-2</v>
      </c>
      <c r="AF94">
        <v>92</v>
      </c>
      <c r="AG94" s="8">
        <v>2.3646375218254259E-2</v>
      </c>
    </row>
    <row r="95" spans="1:33" ht="15" customHeight="1" x14ac:dyDescent="0.35">
      <c r="A95" vm="205">
        <f ca="1"/>
        <v>45426</v>
      </c>
      <c r="B95" s="6" vm="206">
        <f ca="1"/>
        <v>416.56</v>
      </c>
      <c r="C95" s="2">
        <f t="shared" ca="1" si="8"/>
        <v>6.8410923450406679E-3</v>
      </c>
      <c r="Z95">
        <v>93</v>
      </c>
      <c r="AA95" s="8">
        <v>2.9072661416667856E-2</v>
      </c>
      <c r="AC95">
        <v>93</v>
      </c>
      <c r="AD95" s="8">
        <v>5.3715901105623964E-2</v>
      </c>
      <c r="AF95">
        <v>93</v>
      </c>
      <c r="AG95" s="8">
        <v>2.0548783196163791E-2</v>
      </c>
    </row>
    <row r="96" spans="1:33" ht="15" customHeight="1" x14ac:dyDescent="0.35">
      <c r="A96" vm="207">
        <f ca="1"/>
        <v>45427</v>
      </c>
      <c r="B96" s="6" vm="208">
        <f ca="1"/>
        <v>423.08</v>
      </c>
      <c r="C96" s="2">
        <f t="shared" ca="1" si="8"/>
        <v>1.5530777605208343E-2</v>
      </c>
      <c r="Z96">
        <v>94</v>
      </c>
      <c r="AA96" s="8">
        <v>1.5669008320804707E-2</v>
      </c>
      <c r="AC96">
        <v>94</v>
      </c>
      <c r="AD96" s="8">
        <v>2.6337673687006524E-2</v>
      </c>
      <c r="AF96">
        <v>94</v>
      </c>
      <c r="AG96" s="8">
        <v>2.2913728663226086E-2</v>
      </c>
    </row>
    <row r="97" spans="1:33" ht="15" customHeight="1" x14ac:dyDescent="0.35">
      <c r="A97" vm="209">
        <f ca="1"/>
        <v>45428</v>
      </c>
      <c r="B97" s="6" vm="210">
        <f ca="1"/>
        <v>420.99</v>
      </c>
      <c r="C97" s="2">
        <f t="shared" ca="1" si="8"/>
        <v>-4.9522060286979926E-3</v>
      </c>
      <c r="Z97">
        <v>95</v>
      </c>
      <c r="AA97" s="8">
        <v>5.6173679491730487E-2</v>
      </c>
      <c r="AC97">
        <v>95</v>
      </c>
      <c r="AD97" s="8">
        <v>4.2050558608240488E-2</v>
      </c>
      <c r="AF97">
        <v>95</v>
      </c>
      <c r="AG97" s="8">
        <v>2.2757197973144461E-2</v>
      </c>
    </row>
    <row r="98" spans="1:33" ht="15" customHeight="1" x14ac:dyDescent="0.35">
      <c r="A98" vm="211">
        <f ca="1"/>
        <v>45429</v>
      </c>
      <c r="B98" s="6" vm="212">
        <f ca="1"/>
        <v>420.21</v>
      </c>
      <c r="C98" s="2">
        <f t="shared" ca="1" si="8"/>
        <v>-1.8544941120891172E-3</v>
      </c>
      <c r="Z98">
        <v>96</v>
      </c>
      <c r="AA98" s="8">
        <v>9.3637908841282536E-3</v>
      </c>
      <c r="AC98">
        <v>96</v>
      </c>
      <c r="AD98" s="8">
        <v>1.4245159363562031E-2</v>
      </c>
      <c r="AF98">
        <v>96</v>
      </c>
      <c r="AG98" s="8">
        <v>2.3036311215167492E-2</v>
      </c>
    </row>
    <row r="99" spans="1:33" ht="15" customHeight="1" x14ac:dyDescent="0.35">
      <c r="A99" vm="213">
        <f ca="1"/>
        <v>45432</v>
      </c>
      <c r="B99" s="6" vm="214">
        <f ca="1"/>
        <v>425.34</v>
      </c>
      <c r="C99" s="2">
        <f t="shared" ca="1" si="8"/>
        <v>1.213426277591618E-2</v>
      </c>
      <c r="Z99">
        <v>97</v>
      </c>
      <c r="AA99" s="8">
        <v>5.0008252222833137E-2</v>
      </c>
      <c r="AC99">
        <v>97</v>
      </c>
      <c r="AD99" s="8">
        <v>6.0910032855252379E-2</v>
      </c>
      <c r="AF99">
        <v>97</v>
      </c>
      <c r="AG99" s="8">
        <v>2.297607644187509E-2</v>
      </c>
    </row>
    <row r="100" spans="1:33" ht="15" customHeight="1" x14ac:dyDescent="0.35">
      <c r="A100" vm="215">
        <f ca="1"/>
        <v>45433</v>
      </c>
      <c r="B100" s="6" vm="216">
        <f ca="1"/>
        <v>429.04</v>
      </c>
      <c r="C100" s="2">
        <f t="shared" ca="1" si="8"/>
        <v>8.6613055796886246E-3</v>
      </c>
      <c r="Z100">
        <v>98</v>
      </c>
      <c r="AA100" s="8">
        <v>3.5670879051750523E-2</v>
      </c>
      <c r="AC100">
        <v>98</v>
      </c>
      <c r="AD100" s="8">
        <v>3.7945368149678839E-2</v>
      </c>
      <c r="AF100">
        <v>98</v>
      </c>
      <c r="AG100" s="8">
        <v>2.3138585557934164E-2</v>
      </c>
    </row>
    <row r="101" spans="1:33" ht="15" customHeight="1" x14ac:dyDescent="0.35">
      <c r="A101" vm="217">
        <f ca="1"/>
        <v>45434</v>
      </c>
      <c r="B101" s="6" vm="218">
        <f ca="1"/>
        <v>430.52</v>
      </c>
      <c r="C101" s="2">
        <f t="shared" ca="1" si="8"/>
        <v>3.4436257214277106E-3</v>
      </c>
      <c r="Z101">
        <v>99</v>
      </c>
      <c r="AA101" s="8">
        <v>4.4001028059348572E-2</v>
      </c>
      <c r="AC101">
        <v>99</v>
      </c>
      <c r="AD101" s="8">
        <v>3.9303811950371054E-2</v>
      </c>
      <c r="AF101">
        <v>99</v>
      </c>
      <c r="AG101" s="8">
        <v>2.30447908905702E-2</v>
      </c>
    </row>
    <row r="102" spans="1:33" ht="15" customHeight="1" x14ac:dyDescent="0.35">
      <c r="A102" vm="219">
        <f ca="1"/>
        <v>45435</v>
      </c>
      <c r="B102" s="6" vm="220">
        <f ca="1"/>
        <v>427</v>
      </c>
      <c r="C102" s="2">
        <f t="shared" ca="1" si="8"/>
        <v>-8.2097671674729329E-3</v>
      </c>
      <c r="Z102">
        <v>100</v>
      </c>
      <c r="AA102" s="8">
        <v>2.0152870724530925E-2</v>
      </c>
      <c r="AC102">
        <v>100</v>
      </c>
      <c r="AD102" s="8">
        <v>6.6813731169864277E-2</v>
      </c>
      <c r="AF102">
        <v>100</v>
      </c>
      <c r="AG102" s="8">
        <v>2.3555373116291797E-2</v>
      </c>
    </row>
    <row r="103" spans="1:33" ht="15" customHeight="1" x14ac:dyDescent="0.35">
      <c r="A103" vm="221">
        <f ca="1"/>
        <v>45436</v>
      </c>
      <c r="B103" s="6" vm="222">
        <f ca="1"/>
        <v>430.16</v>
      </c>
      <c r="C103" s="2">
        <f t="shared" ca="1" si="8"/>
        <v>7.3732192727980813E-3</v>
      </c>
      <c r="Z103">
        <v>101</v>
      </c>
      <c r="AA103" s="8">
        <v>6.6011559551798507E-2</v>
      </c>
      <c r="AC103">
        <v>101</v>
      </c>
      <c r="AD103" s="8">
        <v>3.9801227486565532E-2</v>
      </c>
      <c r="AF103">
        <v>101</v>
      </c>
      <c r="AG103" s="8">
        <v>2.4148692283809749E-2</v>
      </c>
    </row>
    <row r="104" spans="1:33" ht="15" customHeight="1" x14ac:dyDescent="0.35">
      <c r="A104" vm="223">
        <f ca="1"/>
        <v>45440</v>
      </c>
      <c r="B104" s="6" vm="224">
        <f ca="1"/>
        <v>430.32</v>
      </c>
      <c r="C104" s="2">
        <f t="shared" ca="1" si="8"/>
        <v>3.7188546356447584E-4</v>
      </c>
      <c r="Z104">
        <v>102</v>
      </c>
      <c r="AA104" s="8">
        <v>3.2152050206289189E-2</v>
      </c>
      <c r="AC104">
        <v>102</v>
      </c>
      <c r="AD104" s="8">
        <v>7.6241243925735849E-2</v>
      </c>
      <c r="AF104">
        <v>102</v>
      </c>
      <c r="AG104" s="8">
        <v>2.2779424183584328E-2</v>
      </c>
    </row>
    <row r="105" spans="1:33" ht="15" customHeight="1" x14ac:dyDescent="0.35">
      <c r="A105" vm="225">
        <f ca="1"/>
        <v>45441</v>
      </c>
      <c r="B105" s="6" vm="226">
        <f ca="1"/>
        <v>429.17</v>
      </c>
      <c r="C105" s="2">
        <f t="shared" ca="1" si="8"/>
        <v>-2.6760071350771532E-3</v>
      </c>
      <c r="Z105">
        <v>103</v>
      </c>
      <c r="AA105" s="8">
        <v>2.7833632554374738E-2</v>
      </c>
      <c r="AC105">
        <v>103</v>
      </c>
      <c r="AD105" s="8">
        <v>2.3433639720499253E-2</v>
      </c>
      <c r="AF105">
        <v>103</v>
      </c>
      <c r="AG105" s="8">
        <v>2.2014768511240058E-2</v>
      </c>
    </row>
    <row r="106" spans="1:33" ht="15" customHeight="1" x14ac:dyDescent="0.35">
      <c r="A106" vm="227">
        <f ca="1"/>
        <v>45442</v>
      </c>
      <c r="B106" s="6" vm="228">
        <f ca="1"/>
        <v>414.67</v>
      </c>
      <c r="C106" s="2">
        <f t="shared" ca="1" si="8"/>
        <v>-3.4370087645995105E-2</v>
      </c>
      <c r="Z106">
        <v>104</v>
      </c>
      <c r="AA106" s="8">
        <v>2.4494505935706713E-2</v>
      </c>
      <c r="AC106">
        <v>104</v>
      </c>
      <c r="AD106" s="8">
        <v>3.8376915764787259E-2</v>
      </c>
      <c r="AF106">
        <v>104</v>
      </c>
      <c r="AG106" s="8">
        <v>2.3348804412884661E-2</v>
      </c>
    </row>
    <row r="107" spans="1:33" ht="15" customHeight="1" x14ac:dyDescent="0.35">
      <c r="A107" vm="229">
        <f ca="1"/>
        <v>45443</v>
      </c>
      <c r="B107" s="6" vm="230">
        <f ca="1"/>
        <v>415.13</v>
      </c>
      <c r="C107" s="2">
        <f t="shared" ca="1" si="8"/>
        <v>1.1087010053507313E-3</v>
      </c>
      <c r="Z107">
        <v>105</v>
      </c>
      <c r="AA107" s="8">
        <v>4.2263985142455149E-2</v>
      </c>
      <c r="AC107">
        <v>105</v>
      </c>
      <c r="AD107" s="8">
        <v>1.3206803981756117E-2</v>
      </c>
      <c r="AF107">
        <v>105</v>
      </c>
      <c r="AG107" s="8">
        <v>2.3324599586330642E-2</v>
      </c>
    </row>
    <row r="108" spans="1:33" ht="15" customHeight="1" x14ac:dyDescent="0.35">
      <c r="A108" vm="231">
        <f ca="1"/>
        <v>45446</v>
      </c>
      <c r="B108" s="6" vm="232">
        <f ca="1"/>
        <v>413.52</v>
      </c>
      <c r="C108" s="2">
        <f t="shared" ca="1" si="8"/>
        <v>-3.885843301481734E-3</v>
      </c>
      <c r="Z108">
        <v>106</v>
      </c>
      <c r="AA108" s="8">
        <v>2.8298374902907701E-2</v>
      </c>
      <c r="AC108">
        <v>106</v>
      </c>
      <c r="AD108" s="8">
        <v>3.2847801262029915E-2</v>
      </c>
      <c r="AF108">
        <v>106</v>
      </c>
      <c r="AG108" s="8">
        <v>2.3251693669161886E-2</v>
      </c>
    </row>
    <row r="109" spans="1:33" ht="15" customHeight="1" x14ac:dyDescent="0.35">
      <c r="A109" vm="233">
        <f ca="1"/>
        <v>45447</v>
      </c>
      <c r="B109" s="6" vm="234">
        <f ca="1"/>
        <v>416.07</v>
      </c>
      <c r="C109" s="2">
        <f t="shared" ca="1" si="8"/>
        <v>6.1476344485696588E-3</v>
      </c>
      <c r="Z109">
        <v>107</v>
      </c>
      <c r="AA109" s="8">
        <v>6.4500850815086747E-2</v>
      </c>
      <c r="AC109">
        <v>107</v>
      </c>
      <c r="AD109" s="8">
        <v>7.0701286526066318E-2</v>
      </c>
      <c r="AF109">
        <v>107</v>
      </c>
      <c r="AG109" s="8">
        <v>2.3319359693707485E-2</v>
      </c>
    </row>
    <row r="110" spans="1:33" ht="15" customHeight="1" x14ac:dyDescent="0.35">
      <c r="A110" vm="235">
        <f ca="1"/>
        <v>45448</v>
      </c>
      <c r="B110" s="6" vm="236">
        <f ca="1"/>
        <v>424.01</v>
      </c>
      <c r="C110" s="2">
        <f t="shared" ca="1" si="8"/>
        <v>1.8903524523145216E-2</v>
      </c>
      <c r="Z110">
        <v>108</v>
      </c>
      <c r="AA110" s="8">
        <v>4.7968430449796207E-2</v>
      </c>
      <c r="AC110">
        <v>108</v>
      </c>
      <c r="AD110" s="8">
        <v>2.6760950424559397E-2</v>
      </c>
      <c r="AF110">
        <v>108</v>
      </c>
      <c r="AG110" s="8">
        <v>2.3509595835006527E-2</v>
      </c>
    </row>
    <row r="111" spans="1:33" ht="15" customHeight="1" x14ac:dyDescent="0.35">
      <c r="A111" vm="237">
        <f ca="1"/>
        <v>45449</v>
      </c>
      <c r="B111" s="6" vm="238">
        <f ca="1"/>
        <v>424.52</v>
      </c>
      <c r="C111" s="2">
        <f t="shared" ca="1" si="8"/>
        <v>1.2020790341230919E-3</v>
      </c>
      <c r="Z111">
        <v>109</v>
      </c>
      <c r="AA111" s="8">
        <v>4.2213083308406049E-2</v>
      </c>
      <c r="AC111">
        <v>109</v>
      </c>
      <c r="AD111" s="8">
        <v>2.2569339451991011E-2</v>
      </c>
      <c r="AF111">
        <v>109</v>
      </c>
      <c r="AG111" s="8">
        <v>2.3394116373347009E-2</v>
      </c>
    </row>
    <row r="112" spans="1:33" ht="15" customHeight="1" x14ac:dyDescent="0.35">
      <c r="A112" vm="239">
        <f ca="1"/>
        <v>45450</v>
      </c>
      <c r="B112" s="6" vm="240">
        <f ca="1"/>
        <v>423.85</v>
      </c>
      <c r="C112" s="2">
        <f t="shared" ca="1" si="8"/>
        <v>-1.5794998392070869E-3</v>
      </c>
      <c r="Z112">
        <v>110</v>
      </c>
      <c r="AA112" s="8">
        <v>1.6808122453255504E-2</v>
      </c>
      <c r="AC112">
        <v>110</v>
      </c>
      <c r="AD112" s="8">
        <v>3.577941920710101E-2</v>
      </c>
      <c r="AF112">
        <v>110</v>
      </c>
      <c r="AG112" s="8">
        <v>2.3158307199358349E-2</v>
      </c>
    </row>
    <row r="113" spans="1:33" ht="15" customHeight="1" x14ac:dyDescent="0.35">
      <c r="A113" vm="241">
        <f ca="1"/>
        <v>45453</v>
      </c>
      <c r="B113" s="6" vm="242">
        <f ca="1"/>
        <v>427.87</v>
      </c>
      <c r="C113" s="2">
        <f t="shared" ca="1" si="8"/>
        <v>9.4397920717995982E-3</v>
      </c>
      <c r="Z113">
        <v>111</v>
      </c>
      <c r="AA113" s="8">
        <v>2.0525209362761625E-2</v>
      </c>
      <c r="AC113">
        <v>111</v>
      </c>
      <c r="AD113" s="8">
        <v>3.7854523348187161E-2</v>
      </c>
      <c r="AF113">
        <v>111</v>
      </c>
      <c r="AG113" s="8">
        <v>2.2268264995400175E-2</v>
      </c>
    </row>
    <row r="114" spans="1:33" ht="15" customHeight="1" x14ac:dyDescent="0.35">
      <c r="A114" vm="243">
        <f ca="1"/>
        <v>45454</v>
      </c>
      <c r="B114" s="6" vm="244">
        <f ca="1"/>
        <v>432.68</v>
      </c>
      <c r="C114" s="2">
        <f t="shared" ca="1" si="8"/>
        <v>1.1179013635874695E-2</v>
      </c>
      <c r="Z114">
        <v>112</v>
      </c>
      <c r="AA114" s="8">
        <v>2.1109953911572343E-2</v>
      </c>
      <c r="AC114">
        <v>112</v>
      </c>
      <c r="AD114" s="8">
        <v>3.5331639194553038E-2</v>
      </c>
      <c r="AF114">
        <v>112</v>
      </c>
      <c r="AG114" s="8">
        <v>2.315877166648005E-2</v>
      </c>
    </row>
    <row r="115" spans="1:33" ht="15" customHeight="1" x14ac:dyDescent="0.35">
      <c r="A115" vm="245">
        <f ca="1"/>
        <v>45455</v>
      </c>
      <c r="B115" s="6" vm="246">
        <f ca="1"/>
        <v>441.06</v>
      </c>
      <c r="C115" s="2">
        <f t="shared" ca="1" si="8"/>
        <v>1.9182495851962439E-2</v>
      </c>
      <c r="Z115">
        <v>113</v>
      </c>
      <c r="AA115" s="8">
        <v>4.397508535042375E-2</v>
      </c>
      <c r="AC115">
        <v>113</v>
      </c>
      <c r="AD115" s="8">
        <v>3.2117497191713272E-2</v>
      </c>
      <c r="AF115">
        <v>113</v>
      </c>
      <c r="AG115" s="8">
        <v>2.3114729740646257E-2</v>
      </c>
    </row>
    <row r="116" spans="1:33" ht="15" customHeight="1" x14ac:dyDescent="0.35">
      <c r="A116" vm="247">
        <f ca="1"/>
        <v>45456</v>
      </c>
      <c r="B116" s="6" vm="248">
        <f ca="1"/>
        <v>441.58</v>
      </c>
      <c r="C116" s="2">
        <f t="shared" ca="1" si="8"/>
        <v>1.1782834681454038E-3</v>
      </c>
      <c r="Z116">
        <v>114</v>
      </c>
      <c r="AA116" s="8">
        <v>4.9688716737140613E-2</v>
      </c>
      <c r="AC116">
        <v>114</v>
      </c>
      <c r="AD116" s="8">
        <v>3.1524042095304815E-2</v>
      </c>
      <c r="AF116">
        <v>114</v>
      </c>
      <c r="AG116" s="8">
        <v>2.2694594589843849E-2</v>
      </c>
    </row>
    <row r="117" spans="1:33" ht="15" customHeight="1" x14ac:dyDescent="0.35">
      <c r="A117" vm="249">
        <f ca="1"/>
        <v>45457</v>
      </c>
      <c r="B117" s="6" vm="250">
        <f ca="1"/>
        <v>442.57</v>
      </c>
      <c r="C117" s="2">
        <f t="shared" ca="1" si="8"/>
        <v>2.2394399451337601E-3</v>
      </c>
      <c r="Z117">
        <v>115</v>
      </c>
      <c r="AA117" s="8">
        <v>2.0413801058973058E-2</v>
      </c>
      <c r="AC117">
        <v>115</v>
      </c>
      <c r="AD117" s="8">
        <v>5.0971686123778753E-2</v>
      </c>
      <c r="AF117">
        <v>115</v>
      </c>
      <c r="AG117" s="8">
        <v>2.3066163367134643E-2</v>
      </c>
    </row>
    <row r="118" spans="1:33" ht="15" customHeight="1" x14ac:dyDescent="0.35">
      <c r="A118" vm="251">
        <f ca="1"/>
        <v>45460</v>
      </c>
      <c r="B118" s="6" vm="252">
        <f ca="1"/>
        <v>448.37</v>
      </c>
      <c r="C118" s="2">
        <f t="shared" ca="1" si="8"/>
        <v>1.3020140382955866E-2</v>
      </c>
      <c r="Z118">
        <v>116</v>
      </c>
      <c r="AA118" s="8">
        <v>1.2855426200479908E-2</v>
      </c>
      <c r="AC118">
        <v>116</v>
      </c>
      <c r="AD118" s="8">
        <v>4.092438698408063E-2</v>
      </c>
      <c r="AF118">
        <v>116</v>
      </c>
      <c r="AG118" s="8">
        <v>2.2748185113057737E-2</v>
      </c>
    </row>
    <row r="119" spans="1:33" ht="15" customHeight="1" x14ac:dyDescent="0.35">
      <c r="A119" vm="253">
        <f ca="1"/>
        <v>45461</v>
      </c>
      <c r="B119" s="6" vm="254">
        <f ca="1"/>
        <v>446.34</v>
      </c>
      <c r="C119" s="2">
        <f t="shared" ca="1" si="8"/>
        <v>-4.5377909789813108E-3</v>
      </c>
      <c r="Z119">
        <v>117</v>
      </c>
      <c r="AA119" s="8">
        <v>1.9444791214517098E-2</v>
      </c>
      <c r="AC119">
        <v>117</v>
      </c>
      <c r="AD119" s="8">
        <v>5.8447495089727353E-2</v>
      </c>
      <c r="AF119">
        <v>117</v>
      </c>
      <c r="AG119" s="8">
        <v>2.137501228741007E-2</v>
      </c>
    </row>
    <row r="120" spans="1:33" ht="15" customHeight="1" x14ac:dyDescent="0.35">
      <c r="A120" vm="255">
        <f ca="1"/>
        <v>45463</v>
      </c>
      <c r="B120" s="6" vm="256">
        <f ca="1"/>
        <v>445.7</v>
      </c>
      <c r="C120" s="2">
        <f t="shared" ca="1" si="8"/>
        <v>-1.4349134787948383E-3</v>
      </c>
      <c r="Z120">
        <v>118</v>
      </c>
      <c r="AA120" s="8">
        <v>2.0658879496707038E-2</v>
      </c>
      <c r="AC120">
        <v>118</v>
      </c>
      <c r="AD120" s="8">
        <v>5.2138634742778689E-2</v>
      </c>
      <c r="AF120">
        <v>118</v>
      </c>
      <c r="AG120" s="8">
        <v>2.351698392221244E-2</v>
      </c>
    </row>
    <row r="121" spans="1:33" ht="15" customHeight="1" x14ac:dyDescent="0.35">
      <c r="A121" vm="257">
        <f ca="1"/>
        <v>45464</v>
      </c>
      <c r="B121" s="6" vm="258">
        <f ca="1"/>
        <v>449.78</v>
      </c>
      <c r="C121" s="2">
        <f t="shared" ca="1" si="8"/>
        <v>9.1124943778291955E-3</v>
      </c>
      <c r="Z121">
        <v>119</v>
      </c>
      <c r="AA121" s="8">
        <v>5.5608459400074736E-2</v>
      </c>
      <c r="AC121">
        <v>119</v>
      </c>
      <c r="AD121" s="8">
        <v>3.2234162616753756E-2</v>
      </c>
      <c r="AF121">
        <v>119</v>
      </c>
      <c r="AG121" s="8">
        <v>2.3642409264732187E-2</v>
      </c>
    </row>
    <row r="122" spans="1:33" ht="15" customHeight="1" x14ac:dyDescent="0.35">
      <c r="A122" vm="259">
        <f ca="1"/>
        <v>45467</v>
      </c>
      <c r="B122" s="6" vm="260">
        <f ca="1"/>
        <v>447.67</v>
      </c>
      <c r="C122" s="2">
        <f t="shared" ca="1" si="8"/>
        <v>-4.7022204865515239E-3</v>
      </c>
      <c r="Z122">
        <v>120</v>
      </c>
      <c r="AA122" s="8">
        <v>2.55684551317783E-2</v>
      </c>
      <c r="AC122">
        <v>120</v>
      </c>
      <c r="AD122" s="8">
        <v>2.1946486615942066E-2</v>
      </c>
      <c r="AF122">
        <v>120</v>
      </c>
      <c r="AG122" s="8">
        <v>2.2887864720387337E-2</v>
      </c>
    </row>
    <row r="123" spans="1:33" ht="15" customHeight="1" x14ac:dyDescent="0.35">
      <c r="A123" vm="261">
        <f ca="1"/>
        <v>45468</v>
      </c>
      <c r="B123" s="6" vm="262">
        <f ca="1"/>
        <v>450.95</v>
      </c>
      <c r="C123" s="2">
        <f t="shared" ca="1" si="8"/>
        <v>7.3001147679294803E-3</v>
      </c>
      <c r="Z123">
        <v>121</v>
      </c>
      <c r="AA123" s="8">
        <v>5.6901017563193393E-2</v>
      </c>
      <c r="AC123">
        <v>121</v>
      </c>
      <c r="AD123" s="8">
        <v>6.9582423106106572E-2</v>
      </c>
      <c r="AF123">
        <v>121</v>
      </c>
      <c r="AG123" s="8">
        <v>2.2295999519026534E-2</v>
      </c>
    </row>
    <row r="124" spans="1:33" ht="15" customHeight="1" x14ac:dyDescent="0.35">
      <c r="A124" vm="263">
        <f ca="1"/>
        <v>45469</v>
      </c>
      <c r="B124" s="6" vm="264">
        <f ca="1"/>
        <v>452.16</v>
      </c>
      <c r="C124" s="2">
        <f t="shared" ca="1" si="8"/>
        <v>2.6796308844455833E-3</v>
      </c>
      <c r="Z124">
        <v>122</v>
      </c>
      <c r="AA124" s="8">
        <v>3.8344336457596009E-2</v>
      </c>
      <c r="AC124">
        <v>122</v>
      </c>
      <c r="AD124" s="8">
        <v>3.1401888534909023E-2</v>
      </c>
      <c r="AF124">
        <v>122</v>
      </c>
      <c r="AG124" s="8">
        <v>2.3312712867836361E-2</v>
      </c>
    </row>
    <row r="125" spans="1:33" ht="15" customHeight="1" x14ac:dyDescent="0.35">
      <c r="A125" vm="265">
        <f ca="1"/>
        <v>45470</v>
      </c>
      <c r="B125" s="6" vm="266">
        <f ca="1"/>
        <v>452.85</v>
      </c>
      <c r="C125" s="2">
        <f t="shared" ca="1" si="8"/>
        <v>1.5248453247948873E-3</v>
      </c>
      <c r="Z125">
        <v>123</v>
      </c>
      <c r="AA125" s="8">
        <v>3.236166579585318E-2</v>
      </c>
      <c r="AC125">
        <v>123</v>
      </c>
      <c r="AD125" s="8">
        <v>4.0374438549671328E-2</v>
      </c>
      <c r="AF125">
        <v>123</v>
      </c>
      <c r="AG125" s="8">
        <v>2.315386254374666E-2</v>
      </c>
    </row>
    <row r="126" spans="1:33" ht="15" customHeight="1" x14ac:dyDescent="0.35">
      <c r="A126" vm="267">
        <f ca="1"/>
        <v>45471</v>
      </c>
      <c r="B126" s="6" vm="268">
        <f ca="1"/>
        <v>446.95</v>
      </c>
      <c r="C126" s="2">
        <f t="shared" ca="1" si="8"/>
        <v>-1.3114213287096015E-2</v>
      </c>
      <c r="Z126">
        <v>124</v>
      </c>
      <c r="AA126" s="8">
        <v>5.7068434278312555E-2</v>
      </c>
      <c r="AC126">
        <v>124</v>
      </c>
      <c r="AD126" s="8">
        <v>2.0416395985586932E-2</v>
      </c>
      <c r="AF126">
        <v>124</v>
      </c>
      <c r="AG126" s="8">
        <v>2.3098348341818842E-2</v>
      </c>
    </row>
    <row r="127" spans="1:33" ht="15" customHeight="1" x14ac:dyDescent="0.35">
      <c r="A127" vm="269">
        <f ca="1"/>
        <v>45474</v>
      </c>
      <c r="B127" s="6" vm="270">
        <f ca="1"/>
        <v>456.73</v>
      </c>
      <c r="C127" s="2">
        <f t="shared" ca="1" si="8"/>
        <v>2.1645675135553714E-2</v>
      </c>
      <c r="Z127">
        <v>125</v>
      </c>
      <c r="AA127" s="8">
        <v>5.7559874913793808E-2</v>
      </c>
      <c r="AC127">
        <v>125</v>
      </c>
      <c r="AD127" s="8">
        <v>3.9377252462862049E-2</v>
      </c>
      <c r="AF127">
        <v>125</v>
      </c>
      <c r="AG127" s="8">
        <v>2.2587028132174794E-2</v>
      </c>
    </row>
    <row r="128" spans="1:33" ht="15" customHeight="1" x14ac:dyDescent="0.35">
      <c r="A128" vm="271">
        <f ca="1"/>
        <v>45475</v>
      </c>
      <c r="B128" s="6" vm="272">
        <f ca="1"/>
        <v>459.28</v>
      </c>
      <c r="C128" s="2">
        <f t="shared" ca="1" si="8"/>
        <v>5.5676391899658999E-3</v>
      </c>
      <c r="Z128">
        <v>126</v>
      </c>
      <c r="AA128" s="8">
        <v>1.2769114996541353E-2</v>
      </c>
      <c r="AC128">
        <v>126</v>
      </c>
      <c r="AD128" s="8">
        <v>2.5397339075771099E-2</v>
      </c>
      <c r="AF128">
        <v>126</v>
      </c>
      <c r="AG128" s="8">
        <v>2.3402182295157416E-2</v>
      </c>
    </row>
    <row r="129" spans="1:33" ht="15" customHeight="1" x14ac:dyDescent="0.35">
      <c r="A129" vm="273">
        <f ca="1"/>
        <v>45476</v>
      </c>
      <c r="B129" s="6" vm="274">
        <f ca="1"/>
        <v>460.77</v>
      </c>
      <c r="C129" s="2">
        <f t="shared" ca="1" si="8"/>
        <v>3.2389572362651318E-3</v>
      </c>
      <c r="Z129">
        <v>127</v>
      </c>
      <c r="AA129" s="8">
        <v>3.6349300818919413E-2</v>
      </c>
      <c r="AC129">
        <v>127</v>
      </c>
      <c r="AD129" s="8">
        <v>4.8027998511644049E-2</v>
      </c>
      <c r="AF129">
        <v>127</v>
      </c>
      <c r="AG129" s="8">
        <v>2.3231141557697847E-2</v>
      </c>
    </row>
    <row r="130" spans="1:33" ht="15" customHeight="1" x14ac:dyDescent="0.35">
      <c r="A130" vm="275">
        <f ca="1"/>
        <v>45478</v>
      </c>
      <c r="B130" s="6" vm="276">
        <f ca="1"/>
        <v>467.56</v>
      </c>
      <c r="C130" s="2">
        <f t="shared" ca="1" si="8"/>
        <v>1.4628679643923122E-2</v>
      </c>
      <c r="Z130">
        <v>128</v>
      </c>
      <c r="AA130" s="8">
        <v>5.4463584775180464E-2</v>
      </c>
      <c r="AC130">
        <v>128</v>
      </c>
      <c r="AD130" s="8">
        <v>1.7827078274193491E-2</v>
      </c>
      <c r="AF130">
        <v>128</v>
      </c>
      <c r="AG130" s="8">
        <v>2.3441079493147929E-2</v>
      </c>
    </row>
    <row r="131" spans="1:33" ht="15" customHeight="1" x14ac:dyDescent="0.35">
      <c r="A131" vm="277">
        <f ca="1"/>
        <v>45481</v>
      </c>
      <c r="B131" s="6" vm="278">
        <f ca="1"/>
        <v>466.24</v>
      </c>
      <c r="C131" s="2">
        <f t="shared" ca="1" si="8"/>
        <v>-2.8271597327295377E-3</v>
      </c>
      <c r="Z131">
        <v>129</v>
      </c>
      <c r="AA131" s="8">
        <v>0.11446996932003017</v>
      </c>
      <c r="AC131">
        <v>129</v>
      </c>
      <c r="AD131" s="8">
        <v>2.7564553528691815E-2</v>
      </c>
      <c r="AF131">
        <v>129</v>
      </c>
      <c r="AG131" s="8">
        <v>2.3469898472383025E-2</v>
      </c>
    </row>
    <row r="132" spans="1:33" ht="15" customHeight="1" x14ac:dyDescent="0.35">
      <c r="A132" vm="279">
        <f ca="1"/>
        <v>45482</v>
      </c>
      <c r="B132" s="6" vm="280">
        <f ca="1"/>
        <v>459.54</v>
      </c>
      <c r="C132" s="2">
        <f t="shared" ca="1" si="8"/>
        <v>-1.447453385728289E-2</v>
      </c>
      <c r="Z132">
        <v>130</v>
      </c>
      <c r="AA132" s="8">
        <v>2.7434503241223134E-2</v>
      </c>
      <c r="AC132">
        <v>130</v>
      </c>
      <c r="AD132" s="8">
        <v>2.3764556462200836E-2</v>
      </c>
      <c r="AF132">
        <v>130</v>
      </c>
      <c r="AG132" s="8">
        <v>2.3735459536632794E-2</v>
      </c>
    </row>
    <row r="133" spans="1:33" ht="15" customHeight="1" x14ac:dyDescent="0.35">
      <c r="A133" vm="281">
        <f ca="1"/>
        <v>45483</v>
      </c>
      <c r="B133" s="6" vm="282">
        <f ca="1"/>
        <v>466.25</v>
      </c>
      <c r="C133" s="2">
        <f t="shared" ca="1" si="8"/>
        <v>1.4495981808468086E-2</v>
      </c>
      <c r="Z133">
        <v>131</v>
      </c>
      <c r="AA133" s="8">
        <v>3.7249891397167036E-2</v>
      </c>
      <c r="AC133">
        <v>131</v>
      </c>
      <c r="AD133" s="8">
        <v>3.8650313472151449E-2</v>
      </c>
      <c r="AF133">
        <v>131</v>
      </c>
      <c r="AG133" s="8">
        <v>2.1420432714001871E-2</v>
      </c>
    </row>
    <row r="134" spans="1:33" ht="15" customHeight="1" x14ac:dyDescent="0.35">
      <c r="A134" vm="283">
        <f ca="1"/>
        <v>45484</v>
      </c>
      <c r="B134" s="6" vm="284">
        <f ca="1"/>
        <v>454.7</v>
      </c>
      <c r="C134" s="2">
        <f t="shared" ref="C134:C197" ca="1" si="9">IFERROR(LN(B134/B133),C133)</f>
        <v>-2.5084110127060411E-2</v>
      </c>
      <c r="Z134">
        <v>132</v>
      </c>
      <c r="AA134" s="8">
        <v>1.1890549307687362E-2</v>
      </c>
      <c r="AC134">
        <v>132</v>
      </c>
      <c r="AD134" s="8">
        <v>2.4189310913688089E-2</v>
      </c>
      <c r="AF134">
        <v>132</v>
      </c>
      <c r="AG134" s="8">
        <v>2.3985492890812841E-2</v>
      </c>
    </row>
    <row r="135" spans="1:33" ht="15" customHeight="1" x14ac:dyDescent="0.35">
      <c r="A135" vm="285">
        <f ca="1"/>
        <v>45485</v>
      </c>
      <c r="B135" s="6" vm="286">
        <f ca="1"/>
        <v>453.55</v>
      </c>
      <c r="C135" s="2">
        <f t="shared" ca="1" si="9"/>
        <v>-2.5323437700117343E-3</v>
      </c>
      <c r="Z135">
        <v>133</v>
      </c>
      <c r="AA135" s="8">
        <v>1.556563445606971E-2</v>
      </c>
      <c r="AC135">
        <v>133</v>
      </c>
      <c r="AD135" s="8">
        <v>3.3910288970073359E-2</v>
      </c>
      <c r="AF135">
        <v>133</v>
      </c>
      <c r="AG135" s="8">
        <v>2.2851783606564337E-2</v>
      </c>
    </row>
    <row r="136" spans="1:33" ht="15" customHeight="1" x14ac:dyDescent="0.35">
      <c r="A136" vm="287">
        <f ca="1"/>
        <v>45488</v>
      </c>
      <c r="B136" s="6" vm="288">
        <f ca="1"/>
        <v>453.96</v>
      </c>
      <c r="C136" s="2">
        <f t="shared" ca="1" si="9"/>
        <v>9.0357137198491849E-4</v>
      </c>
      <c r="Z136">
        <v>134</v>
      </c>
      <c r="AA136" s="8">
        <v>4.8063154266898354E-2</v>
      </c>
      <c r="AC136">
        <v>134</v>
      </c>
      <c r="AD136" s="8">
        <v>6.1244241140277905E-2</v>
      </c>
      <c r="AF136">
        <v>134</v>
      </c>
      <c r="AG136" s="8">
        <v>3.2163362091275585E-2</v>
      </c>
    </row>
    <row r="137" spans="1:33" ht="15" customHeight="1" x14ac:dyDescent="0.35">
      <c r="A137" vm="289">
        <f ca="1"/>
        <v>45489</v>
      </c>
      <c r="B137" s="6" vm="290">
        <f ca="1"/>
        <v>449.52</v>
      </c>
      <c r="C137" s="2">
        <f t="shared" ca="1" si="9"/>
        <v>-9.8287416289953924E-3</v>
      </c>
      <c r="Z137">
        <v>135</v>
      </c>
      <c r="AA137" s="8">
        <v>3.7655285157900772E-2</v>
      </c>
      <c r="AC137">
        <v>135</v>
      </c>
      <c r="AD137" s="8">
        <v>4.8106539213102949E-2</v>
      </c>
      <c r="AF137">
        <v>135</v>
      </c>
      <c r="AG137" s="8">
        <v>2.2448329171124094E-2</v>
      </c>
    </row>
    <row r="138" spans="1:33" ht="15" customHeight="1" x14ac:dyDescent="0.35">
      <c r="A138" vm="291">
        <f ca="1"/>
        <v>45490</v>
      </c>
      <c r="B138" s="6" vm="292">
        <f ca="1"/>
        <v>443.52</v>
      </c>
      <c r="C138" s="2">
        <f t="shared" ca="1" si="9"/>
        <v>-1.3437450242459003E-2</v>
      </c>
      <c r="Z138">
        <v>136</v>
      </c>
      <c r="AA138" s="8">
        <v>2.2940593499791585E-2</v>
      </c>
      <c r="AC138">
        <v>136</v>
      </c>
      <c r="AD138" s="8">
        <v>1.9394770185804863E-2</v>
      </c>
      <c r="AF138">
        <v>136</v>
      </c>
      <c r="AG138" s="8">
        <v>2.1047906449694745E-2</v>
      </c>
    </row>
    <row r="139" spans="1:33" ht="15" customHeight="1" x14ac:dyDescent="0.35">
      <c r="A139" vm="293">
        <f ca="1"/>
        <v>45491</v>
      </c>
      <c r="B139" s="6" vm="294">
        <f ca="1"/>
        <v>440.37</v>
      </c>
      <c r="C139" s="2">
        <f t="shared" ca="1" si="9"/>
        <v>-7.1276139242321237E-3</v>
      </c>
      <c r="Z139">
        <v>137</v>
      </c>
      <c r="AA139" s="8">
        <v>1.1804984582360373E-2</v>
      </c>
      <c r="AC139">
        <v>137</v>
      </c>
      <c r="AD139" s="8">
        <v>5.4167889941321462E-2</v>
      </c>
      <c r="AF139">
        <v>137</v>
      </c>
      <c r="AG139" s="8">
        <v>2.0974805195667846E-2</v>
      </c>
    </row>
    <row r="140" spans="1:33" ht="15" customHeight="1" x14ac:dyDescent="0.35">
      <c r="A140" vm="295">
        <f ca="1"/>
        <v>45492</v>
      </c>
      <c r="B140" s="6" vm="296">
        <f ca="1"/>
        <v>437.11</v>
      </c>
      <c r="C140" s="2">
        <f t="shared" ca="1" si="9"/>
        <v>-7.4304029697410297E-3</v>
      </c>
      <c r="Z140">
        <v>138</v>
      </c>
      <c r="AA140" s="8">
        <v>2.67998590385213E-2</v>
      </c>
      <c r="AC140">
        <v>138</v>
      </c>
      <c r="AD140" s="8">
        <v>5.5456364740250723E-2</v>
      </c>
      <c r="AF140">
        <v>138</v>
      </c>
      <c r="AG140" s="8">
        <v>2.4104768922444508E-2</v>
      </c>
    </row>
    <row r="141" spans="1:33" ht="15" customHeight="1" x14ac:dyDescent="0.35">
      <c r="A141" vm="297">
        <f ca="1"/>
        <v>45495</v>
      </c>
      <c r="B141" s="6" vm="298">
        <f ca="1"/>
        <v>442.94</v>
      </c>
      <c r="C141" s="2">
        <f t="shared" ca="1" si="9"/>
        <v>1.3249441024188627E-2</v>
      </c>
      <c r="Z141">
        <v>139</v>
      </c>
      <c r="AA141" s="8">
        <v>1.5996724780225156E-2</v>
      </c>
      <c r="AC141">
        <v>139</v>
      </c>
      <c r="AD141" s="8">
        <v>5.1927493958587645E-2</v>
      </c>
      <c r="AF141">
        <v>139</v>
      </c>
      <c r="AG141" s="8">
        <v>2.2991067113459884E-2</v>
      </c>
    </row>
    <row r="142" spans="1:33" ht="15" customHeight="1" x14ac:dyDescent="0.35">
      <c r="A142" vm="299">
        <f ca="1"/>
        <v>45496</v>
      </c>
      <c r="B142" s="6" vm="300">
        <f ca="1"/>
        <v>444.85</v>
      </c>
      <c r="C142" s="2">
        <f t="shared" ca="1" si="9"/>
        <v>4.3028259990771887E-3</v>
      </c>
      <c r="Z142">
        <v>140</v>
      </c>
      <c r="AA142" s="8">
        <v>3.5513013308746892E-2</v>
      </c>
      <c r="AC142">
        <v>140</v>
      </c>
      <c r="AD142" s="8">
        <v>4.9473374774847617E-2</v>
      </c>
      <c r="AF142">
        <v>140</v>
      </c>
      <c r="AG142" s="8">
        <v>2.3297508239046607E-2</v>
      </c>
    </row>
    <row r="143" spans="1:33" ht="15" customHeight="1" x14ac:dyDescent="0.35">
      <c r="A143" vm="301">
        <f ca="1"/>
        <v>45497</v>
      </c>
      <c r="B143" s="6" vm="302">
        <f ca="1"/>
        <v>428.9</v>
      </c>
      <c r="C143" s="2">
        <f t="shared" ca="1" si="9"/>
        <v>-3.65133551679417E-2</v>
      </c>
      <c r="Z143">
        <v>141</v>
      </c>
      <c r="AA143" s="8">
        <v>4.0005827195333396E-2</v>
      </c>
      <c r="AC143">
        <v>141</v>
      </c>
      <c r="AD143" s="8">
        <v>5.121875865252528E-2</v>
      </c>
      <c r="AF143">
        <v>141</v>
      </c>
      <c r="AG143" s="8">
        <v>2.3208895693943285E-2</v>
      </c>
    </row>
    <row r="144" spans="1:33" ht="15" customHeight="1" x14ac:dyDescent="0.35">
      <c r="A144" vm="303">
        <f ca="1"/>
        <v>45498</v>
      </c>
      <c r="B144" s="6" vm="304">
        <f ca="1"/>
        <v>418.4</v>
      </c>
      <c r="C144" s="2">
        <f t="shared" ca="1" si="9"/>
        <v>-2.4785878772121642E-2</v>
      </c>
      <c r="Z144">
        <v>142</v>
      </c>
      <c r="AA144" s="8">
        <v>1.9172689668467312E-2</v>
      </c>
      <c r="AC144">
        <v>142</v>
      </c>
      <c r="AD144" s="8">
        <v>2.8699293404629986E-2</v>
      </c>
      <c r="AF144">
        <v>142</v>
      </c>
      <c r="AG144" s="8">
        <v>2.3628780147502259E-2</v>
      </c>
    </row>
    <row r="145" spans="1:33" ht="15" customHeight="1" x14ac:dyDescent="0.35">
      <c r="A145" vm="305">
        <f ca="1"/>
        <v>45499</v>
      </c>
      <c r="B145" s="6" vm="306">
        <f ca="1"/>
        <v>425.27</v>
      </c>
      <c r="C145" s="2">
        <f t="shared" ca="1" si="9"/>
        <v>1.6286348577470033E-2</v>
      </c>
      <c r="Z145">
        <v>143</v>
      </c>
      <c r="AA145" s="8">
        <v>4.4357729938554975E-2</v>
      </c>
      <c r="AC145">
        <v>143</v>
      </c>
      <c r="AD145" s="8">
        <v>2.7086313745580771E-2</v>
      </c>
      <c r="AF145">
        <v>143</v>
      </c>
      <c r="AG145" s="8">
        <v>2.8367180118787416E-2</v>
      </c>
    </row>
    <row r="146" spans="1:33" ht="15" customHeight="1" x14ac:dyDescent="0.35">
      <c r="A146" vm="307">
        <f ca="1"/>
        <v>45502</v>
      </c>
      <c r="B146" s="6" vm="308">
        <f ca="1"/>
        <v>426.73</v>
      </c>
      <c r="C146" s="2">
        <f t="shared" ca="1" si="9"/>
        <v>3.4272334016145676E-3</v>
      </c>
      <c r="Z146">
        <v>144</v>
      </c>
      <c r="AA146" s="8">
        <v>7.5353626138254068E-2</v>
      </c>
      <c r="AC146">
        <v>144</v>
      </c>
      <c r="AD146" s="8">
        <v>3.3292016894653151E-2</v>
      </c>
      <c r="AF146">
        <v>144</v>
      </c>
      <c r="AG146" s="8">
        <v>2.2035965466249145E-2</v>
      </c>
    </row>
    <row r="147" spans="1:33" ht="15" customHeight="1" x14ac:dyDescent="0.35">
      <c r="A147" vm="309">
        <f ca="1"/>
        <v>45503</v>
      </c>
      <c r="B147" s="6" vm="310">
        <f ca="1"/>
        <v>422.92</v>
      </c>
      <c r="C147" s="2">
        <f t="shared" ca="1" si="9"/>
        <v>-8.9684588654717675E-3</v>
      </c>
      <c r="Z147">
        <v>145</v>
      </c>
      <c r="AA147" s="8">
        <v>7.0066037320683533E-2</v>
      </c>
      <c r="AC147">
        <v>145</v>
      </c>
      <c r="AD147" s="8">
        <v>4.8813512256521377E-2</v>
      </c>
      <c r="AF147">
        <v>145</v>
      </c>
      <c r="AG147" s="8">
        <v>2.2784047624956005E-2</v>
      </c>
    </row>
    <row r="148" spans="1:33" ht="15" customHeight="1" x14ac:dyDescent="0.35">
      <c r="A148" vm="311">
        <f ca="1"/>
        <v>45504</v>
      </c>
      <c r="B148" s="6" vm="312">
        <f ca="1"/>
        <v>418.35</v>
      </c>
      <c r="C148" s="2">
        <f t="shared" ca="1" si="9"/>
        <v>-1.0864633122718079E-2</v>
      </c>
      <c r="Z148">
        <v>146</v>
      </c>
      <c r="AA148" s="8">
        <v>2.1109611844177791E-2</v>
      </c>
      <c r="AC148">
        <v>146</v>
      </c>
      <c r="AD148" s="8">
        <v>2.4457124843953924E-2</v>
      </c>
      <c r="AF148">
        <v>146</v>
      </c>
      <c r="AG148" s="8">
        <v>2.3682833273234158E-2</v>
      </c>
    </row>
    <row r="149" spans="1:33" ht="15" customHeight="1" x14ac:dyDescent="0.35">
      <c r="A149" vm="313">
        <f ca="1"/>
        <v>45505</v>
      </c>
      <c r="B149" s="6" vm="314">
        <f ca="1"/>
        <v>417.11</v>
      </c>
      <c r="C149" s="2">
        <f t="shared" ca="1" si="9"/>
        <v>-2.968426760173963E-3</v>
      </c>
      <c r="Z149">
        <v>147</v>
      </c>
      <c r="AA149" s="8">
        <v>2.1767980486192995E-2</v>
      </c>
      <c r="AC149">
        <v>147</v>
      </c>
      <c r="AD149" s="8">
        <v>2.5012768812677191E-2</v>
      </c>
      <c r="AF149">
        <v>147</v>
      </c>
      <c r="AG149" s="8">
        <v>2.3590567359300783E-2</v>
      </c>
    </row>
    <row r="150" spans="1:33" ht="15" customHeight="1" x14ac:dyDescent="0.35">
      <c r="A150" vm="315">
        <f ca="1"/>
        <v>45506</v>
      </c>
      <c r="B150" s="6" vm="316">
        <f ca="1"/>
        <v>408.49</v>
      </c>
      <c r="C150" s="2">
        <f t="shared" ca="1" si="9"/>
        <v>-2.0882541785172955E-2</v>
      </c>
      <c r="Z150">
        <v>148</v>
      </c>
      <c r="AA150" s="8">
        <v>3.2445865223549517E-2</v>
      </c>
      <c r="AC150">
        <v>148</v>
      </c>
      <c r="AD150" s="8">
        <v>2.4892622820929852E-2</v>
      </c>
      <c r="AF150">
        <v>148</v>
      </c>
      <c r="AG150" s="8">
        <v>2.3241049756248609E-2</v>
      </c>
    </row>
    <row r="151" spans="1:33" ht="15" customHeight="1" x14ac:dyDescent="0.35">
      <c r="A151" vm="317">
        <f ca="1"/>
        <v>45509</v>
      </c>
      <c r="B151" s="6" vm="318">
        <f ca="1"/>
        <v>395.15</v>
      </c>
      <c r="C151" s="2">
        <f t="shared" ca="1" si="9"/>
        <v>-3.3201994545276448E-2</v>
      </c>
      <c r="Z151">
        <v>149</v>
      </c>
      <c r="AA151" s="8">
        <v>2.6538096505936592E-2</v>
      </c>
      <c r="AC151">
        <v>149</v>
      </c>
      <c r="AD151" s="8">
        <v>2.0061853822523582E-2</v>
      </c>
      <c r="AF151">
        <v>149</v>
      </c>
      <c r="AG151" s="8">
        <v>2.3007413662988217E-2</v>
      </c>
    </row>
    <row r="152" spans="1:33" ht="15" customHeight="1" x14ac:dyDescent="0.35">
      <c r="A152" vm="319">
        <f ca="1"/>
        <v>45510</v>
      </c>
      <c r="B152" s="6" vm="320">
        <f ca="1"/>
        <v>399.61</v>
      </c>
      <c r="C152" s="2">
        <f t="shared" ca="1" si="9"/>
        <v>1.1223631835318555E-2</v>
      </c>
      <c r="Z152">
        <v>150</v>
      </c>
      <c r="AA152" s="8">
        <v>1.4956833192672239E-2</v>
      </c>
      <c r="AC152">
        <v>150</v>
      </c>
      <c r="AD152" s="8">
        <v>5.5704039556792727E-2</v>
      </c>
      <c r="AF152">
        <v>150</v>
      </c>
      <c r="AG152" s="8">
        <v>2.3146804047686834E-2</v>
      </c>
    </row>
    <row r="153" spans="1:33" ht="15" customHeight="1" x14ac:dyDescent="0.35">
      <c r="A153" vm="321">
        <f ca="1"/>
        <v>45511</v>
      </c>
      <c r="B153" s="6" vm="322">
        <f ca="1"/>
        <v>398.43</v>
      </c>
      <c r="C153" s="2">
        <f t="shared" ca="1" si="9"/>
        <v>-2.9572474060337072E-3</v>
      </c>
      <c r="Z153">
        <v>151</v>
      </c>
      <c r="AA153" s="8">
        <v>1.9540877429701824E-2</v>
      </c>
      <c r="AC153">
        <v>151</v>
      </c>
      <c r="AD153" s="8">
        <v>2.550727979888371E-2</v>
      </c>
      <c r="AF153">
        <v>151</v>
      </c>
      <c r="AG153" s="8">
        <v>2.3463986229528246E-2</v>
      </c>
    </row>
    <row r="154" spans="1:33" ht="15" customHeight="1" x14ac:dyDescent="0.35">
      <c r="A154" vm="323">
        <f ca="1"/>
        <v>45512</v>
      </c>
      <c r="B154" s="6" vm="324">
        <f ca="1"/>
        <v>402.69</v>
      </c>
      <c r="C154" s="2">
        <f t="shared" ca="1" si="9"/>
        <v>1.0635211087385377E-2</v>
      </c>
      <c r="Z154">
        <v>152</v>
      </c>
      <c r="AA154" s="8">
        <v>1.9924155120166133E-2</v>
      </c>
      <c r="AC154">
        <v>152</v>
      </c>
      <c r="AD154" s="8">
        <v>2.1619396497642572E-2</v>
      </c>
      <c r="AF154">
        <v>152</v>
      </c>
      <c r="AG154" s="8">
        <v>2.3003965554616927E-2</v>
      </c>
    </row>
    <row r="155" spans="1:33" ht="15" customHeight="1" x14ac:dyDescent="0.35">
      <c r="A155" vm="325">
        <f ca="1"/>
        <v>45513</v>
      </c>
      <c r="B155" s="6" vm="326">
        <f ca="1"/>
        <v>406.02</v>
      </c>
      <c r="C155" s="2">
        <f t="shared" ca="1" si="9"/>
        <v>8.2353843045346008E-3</v>
      </c>
      <c r="Z155">
        <v>153</v>
      </c>
      <c r="AA155" s="8">
        <v>0.1141724096254801</v>
      </c>
      <c r="AC155">
        <v>153</v>
      </c>
      <c r="AD155" s="8">
        <v>2.2990140984276944E-2</v>
      </c>
      <c r="AF155">
        <v>153</v>
      </c>
      <c r="AG155" s="8">
        <v>2.3482815933785782E-2</v>
      </c>
    </row>
    <row r="156" spans="1:33" ht="15" customHeight="1" x14ac:dyDescent="0.35">
      <c r="A156" vm="327">
        <f ca="1"/>
        <v>45516</v>
      </c>
      <c r="B156" s="6" vm="328">
        <f ca="1"/>
        <v>406.81</v>
      </c>
      <c r="C156" s="2">
        <f t="shared" ca="1" si="9"/>
        <v>1.9438265043088651E-3</v>
      </c>
      <c r="Z156">
        <v>154</v>
      </c>
      <c r="AA156" s="8">
        <v>2.6820272764191005E-2</v>
      </c>
      <c r="AC156">
        <v>154</v>
      </c>
      <c r="AD156" s="8">
        <v>2.8766786742669061E-2</v>
      </c>
      <c r="AF156">
        <v>154</v>
      </c>
      <c r="AG156" s="8">
        <v>2.3214043600742005E-2</v>
      </c>
    </row>
    <row r="157" spans="1:33" ht="15" customHeight="1" x14ac:dyDescent="0.35">
      <c r="A157" vm="329">
        <f ca="1"/>
        <v>45517</v>
      </c>
      <c r="B157" s="6" vm="330">
        <f ca="1"/>
        <v>414.01</v>
      </c>
      <c r="C157" s="2">
        <f t="shared" ca="1" si="9"/>
        <v>1.7543882146470933E-2</v>
      </c>
      <c r="Z157">
        <v>155</v>
      </c>
      <c r="AA157" s="8">
        <v>4.5495058951057557E-2</v>
      </c>
      <c r="AC157">
        <v>155</v>
      </c>
      <c r="AD157" s="8">
        <v>3.3499475143622774E-2</v>
      </c>
      <c r="AF157">
        <v>155</v>
      </c>
      <c r="AG157" s="8">
        <v>2.2998306914873912E-2</v>
      </c>
    </row>
    <row r="158" spans="1:33" ht="15" customHeight="1" x14ac:dyDescent="0.35">
      <c r="A158" vm="331">
        <f ca="1"/>
        <v>45518</v>
      </c>
      <c r="B158" s="6" vm="332">
        <f ca="1"/>
        <v>416.86</v>
      </c>
      <c r="C158" s="2">
        <f t="shared" ca="1" si="9"/>
        <v>6.8603058905558276E-3</v>
      </c>
      <c r="Z158">
        <v>156</v>
      </c>
      <c r="AA158" s="8">
        <v>4.327810387083237E-2</v>
      </c>
      <c r="AC158">
        <v>156</v>
      </c>
      <c r="AD158" s="8">
        <v>2.4992772812998731E-2</v>
      </c>
      <c r="AF158">
        <v>156</v>
      </c>
      <c r="AG158" s="8">
        <v>2.4007102144145032E-2</v>
      </c>
    </row>
    <row r="159" spans="1:33" ht="15" customHeight="1" x14ac:dyDescent="0.35">
      <c r="A159" vm="333">
        <f ca="1"/>
        <v>45519</v>
      </c>
      <c r="B159" s="6" vm="334">
        <f ca="1"/>
        <v>421.03</v>
      </c>
      <c r="C159" s="2">
        <f t="shared" ca="1" si="9"/>
        <v>9.9536560374247855E-3</v>
      </c>
      <c r="Z159">
        <v>157</v>
      </c>
      <c r="AA159" s="8">
        <v>2.957172135194417E-2</v>
      </c>
      <c r="AC159">
        <v>157</v>
      </c>
      <c r="AD159" s="8">
        <v>7.7855260873915047E-2</v>
      </c>
      <c r="AF159">
        <v>157</v>
      </c>
      <c r="AG159" s="8">
        <v>2.1152182423403578E-2</v>
      </c>
    </row>
    <row r="160" spans="1:33" ht="15" customHeight="1" x14ac:dyDescent="0.35">
      <c r="A160" vm="335">
        <f ca="1"/>
        <v>45520</v>
      </c>
      <c r="B160" s="6" vm="336">
        <f ca="1"/>
        <v>418.47</v>
      </c>
      <c r="C160" s="2">
        <f t="shared" ca="1" si="9"/>
        <v>-6.0988872786958475E-3</v>
      </c>
      <c r="Z160">
        <v>158</v>
      </c>
      <c r="AA160" s="8">
        <v>4.7349682051395468E-2</v>
      </c>
      <c r="AC160">
        <v>158</v>
      </c>
      <c r="AD160" s="8">
        <v>3.2456719395489143E-2</v>
      </c>
      <c r="AF160">
        <v>158</v>
      </c>
      <c r="AG160" s="8">
        <v>2.7411127993344976E-2</v>
      </c>
    </row>
    <row r="161" spans="1:33" ht="15" customHeight="1" x14ac:dyDescent="0.35">
      <c r="A161" vm="337">
        <f ca="1"/>
        <v>45523</v>
      </c>
      <c r="B161" s="6" vm="338">
        <f ca="1"/>
        <v>421.53</v>
      </c>
      <c r="C161" s="2">
        <f t="shared" ca="1" si="9"/>
        <v>7.2857465141049661E-3</v>
      </c>
      <c r="Z161">
        <v>159</v>
      </c>
      <c r="AA161" s="8">
        <v>3.3555372979893069E-2</v>
      </c>
      <c r="AC161">
        <v>159</v>
      </c>
      <c r="AD161" s="8">
        <v>4.9895476056481973E-2</v>
      </c>
      <c r="AF161">
        <v>159</v>
      </c>
      <c r="AG161" s="8">
        <v>2.3123784135853698E-2</v>
      </c>
    </row>
    <row r="162" spans="1:33" ht="15" customHeight="1" x14ac:dyDescent="0.35">
      <c r="A162" vm="339">
        <f ca="1"/>
        <v>45524</v>
      </c>
      <c r="B162" s="6" vm="340">
        <f ca="1"/>
        <v>424.8</v>
      </c>
      <c r="C162" s="2">
        <f t="shared" ca="1" si="9"/>
        <v>7.7275206413707194E-3</v>
      </c>
      <c r="Z162">
        <v>160</v>
      </c>
      <c r="AA162" s="8">
        <v>5.196971218142795E-2</v>
      </c>
      <c r="AC162">
        <v>160</v>
      </c>
      <c r="AD162" s="8">
        <v>5.7043236546495762E-2</v>
      </c>
      <c r="AF162">
        <v>160</v>
      </c>
      <c r="AG162" s="8">
        <v>2.2432100345764375E-2</v>
      </c>
    </row>
    <row r="163" spans="1:33" ht="15" customHeight="1" x14ac:dyDescent="0.35">
      <c r="A163" vm="341">
        <f ca="1"/>
        <v>45525</v>
      </c>
      <c r="B163" s="6" vm="342">
        <f ca="1"/>
        <v>424.14</v>
      </c>
      <c r="C163" s="2">
        <f t="shared" ca="1" si="9"/>
        <v>-1.5548805168114723E-3</v>
      </c>
      <c r="Z163">
        <v>161</v>
      </c>
      <c r="AA163" s="8">
        <v>4.5220153710823302E-2</v>
      </c>
      <c r="AC163">
        <v>161</v>
      </c>
      <c r="AD163" s="8">
        <v>6.1067920556186824E-2</v>
      </c>
      <c r="AF163">
        <v>161</v>
      </c>
      <c r="AG163" s="8">
        <v>2.3299342668124869E-2</v>
      </c>
    </row>
    <row r="164" spans="1:33" ht="15" customHeight="1" x14ac:dyDescent="0.35">
      <c r="A164" vm="343">
        <f ca="1"/>
        <v>45526</v>
      </c>
      <c r="B164" s="6" vm="344">
        <f ca="1"/>
        <v>415.55</v>
      </c>
      <c r="C164" s="2">
        <f t="shared" ca="1" si="9"/>
        <v>-2.0460645411882226E-2</v>
      </c>
      <c r="Z164">
        <v>162</v>
      </c>
      <c r="AA164" s="8">
        <v>1.5763489454815351E-2</v>
      </c>
      <c r="AC164">
        <v>162</v>
      </c>
      <c r="AD164" s="8">
        <v>2.0323778721043958E-2</v>
      </c>
      <c r="AF164">
        <v>162</v>
      </c>
      <c r="AG164" s="8">
        <v>2.4209205119606846E-2</v>
      </c>
    </row>
    <row r="165" spans="1:33" ht="15" customHeight="1" x14ac:dyDescent="0.35">
      <c r="A165" vm="345">
        <f ca="1"/>
        <v>45527</v>
      </c>
      <c r="B165" s="6" vm="346">
        <f ca="1"/>
        <v>416.79</v>
      </c>
      <c r="C165" s="2">
        <f t="shared" ca="1" si="9"/>
        <v>2.9795538298447027E-3</v>
      </c>
      <c r="Z165">
        <v>163</v>
      </c>
      <c r="AA165" s="8">
        <v>2.748267639948674E-2</v>
      </c>
      <c r="AC165">
        <v>163</v>
      </c>
      <c r="AD165" s="8">
        <v>4.7206482706411902E-2</v>
      </c>
      <c r="AF165">
        <v>163</v>
      </c>
      <c r="AG165" s="8">
        <v>2.2563075783942472E-2</v>
      </c>
    </row>
    <row r="166" spans="1:33" ht="15" customHeight="1" x14ac:dyDescent="0.35">
      <c r="A166" vm="347">
        <f ca="1"/>
        <v>45530</v>
      </c>
      <c r="B166" s="6" vm="348">
        <f ca="1"/>
        <v>413.49</v>
      </c>
      <c r="C166" s="2">
        <f t="shared" ca="1" si="9"/>
        <v>-7.9491674544228709E-3</v>
      </c>
      <c r="Z166">
        <v>164</v>
      </c>
      <c r="AA166" s="8">
        <v>2.3245670600684113E-2</v>
      </c>
      <c r="AC166">
        <v>164</v>
      </c>
      <c r="AD166" s="8">
        <v>2.840949964477564E-2</v>
      </c>
      <c r="AF166">
        <v>164</v>
      </c>
      <c r="AG166" s="8">
        <v>2.3727078212782336E-2</v>
      </c>
    </row>
    <row r="167" spans="1:33" ht="15" customHeight="1" x14ac:dyDescent="0.35">
      <c r="A167" vm="349">
        <f ca="1"/>
        <v>45531</v>
      </c>
      <c r="B167" s="6" vm="350">
        <f ca="1"/>
        <v>413.84</v>
      </c>
      <c r="C167" s="2">
        <f t="shared" ca="1" si="9"/>
        <v>8.4609532080240444E-4</v>
      </c>
      <c r="Z167">
        <v>165</v>
      </c>
      <c r="AA167" s="8">
        <v>1.7468948659181437E-2</v>
      </c>
      <c r="AC167">
        <v>165</v>
      </c>
      <c r="AD167" s="8">
        <v>3.1615547041448554E-2</v>
      </c>
      <c r="AF167">
        <v>165</v>
      </c>
      <c r="AG167" s="8">
        <v>2.208193822822745E-2</v>
      </c>
    </row>
    <row r="168" spans="1:33" ht="15" customHeight="1" x14ac:dyDescent="0.35">
      <c r="A168" vm="351">
        <f ca="1"/>
        <v>45532</v>
      </c>
      <c r="B168" s="6" vm="352">
        <f ca="1"/>
        <v>410.6</v>
      </c>
      <c r="C168" s="2">
        <f t="shared" ca="1" si="9"/>
        <v>-7.8599211104263648E-3</v>
      </c>
      <c r="Z168">
        <v>166</v>
      </c>
      <c r="AA168" s="8">
        <v>3.8624859444029602E-2</v>
      </c>
      <c r="AC168">
        <v>166</v>
      </c>
      <c r="AD168" s="8">
        <v>5.6683627062549306E-2</v>
      </c>
      <c r="AF168">
        <v>166</v>
      </c>
      <c r="AG168" s="8">
        <v>2.3853297163472589E-2</v>
      </c>
    </row>
    <row r="169" spans="1:33" ht="15" customHeight="1" x14ac:dyDescent="0.35">
      <c r="A169" vm="353">
        <f ca="1"/>
        <v>45533</v>
      </c>
      <c r="B169" s="6" vm="354">
        <f ca="1"/>
        <v>413.12</v>
      </c>
      <c r="C169" s="2">
        <f t="shared" ca="1" si="9"/>
        <v>6.1186030734444426E-3</v>
      </c>
      <c r="Z169">
        <v>167</v>
      </c>
      <c r="AA169" s="8">
        <v>2.7137565229606593E-2</v>
      </c>
      <c r="AC169">
        <v>167</v>
      </c>
      <c r="AD169" s="8">
        <v>2.7250456199612492E-2</v>
      </c>
      <c r="AF169">
        <v>167</v>
      </c>
      <c r="AG169" s="8">
        <v>2.2150507335878523E-2</v>
      </c>
    </row>
    <row r="170" spans="1:33" ht="15" customHeight="1" x14ac:dyDescent="0.35">
      <c r="A170" vm="355">
        <f ca="1"/>
        <v>45534</v>
      </c>
      <c r="B170" s="6" vm="356">
        <f ca="1"/>
        <v>417.14</v>
      </c>
      <c r="C170" s="2">
        <f t="shared" ca="1" si="9"/>
        <v>9.6837892102111817E-3</v>
      </c>
      <c r="Z170">
        <v>168</v>
      </c>
      <c r="AA170" s="8">
        <v>1.9552212072387488E-2</v>
      </c>
      <c r="AC170">
        <v>168</v>
      </c>
      <c r="AD170" s="8">
        <v>4.6757385428270813E-2</v>
      </c>
      <c r="AF170">
        <v>168</v>
      </c>
      <c r="AG170" s="8">
        <v>2.3160528900595553E-2</v>
      </c>
    </row>
    <row r="171" spans="1:33" ht="15" customHeight="1" x14ac:dyDescent="0.35">
      <c r="A171" vm="357">
        <f ca="1"/>
        <v>45538</v>
      </c>
      <c r="B171" s="6" vm="358">
        <f ca="1"/>
        <v>409.44</v>
      </c>
      <c r="C171" s="2">
        <f t="shared" ca="1" si="9"/>
        <v>-1.8631524457010256E-2</v>
      </c>
      <c r="Z171">
        <v>169</v>
      </c>
      <c r="AA171" s="8">
        <v>3.8174998914085254E-2</v>
      </c>
      <c r="AC171">
        <v>169</v>
      </c>
      <c r="AD171" s="8">
        <v>3.9130275154834214E-2</v>
      </c>
      <c r="AF171">
        <v>169</v>
      </c>
      <c r="AG171" s="8">
        <v>2.4755235183351095E-2</v>
      </c>
    </row>
    <row r="172" spans="1:33" ht="15" customHeight="1" x14ac:dyDescent="0.35">
      <c r="A172" vm="359">
        <f ca="1"/>
        <v>45539</v>
      </c>
      <c r="B172" s="6" vm="360">
        <f ca="1"/>
        <v>408.9</v>
      </c>
      <c r="C172" s="2">
        <f t="shared" ca="1" si="9"/>
        <v>-1.3197450408820716E-3</v>
      </c>
      <c r="Z172">
        <v>170</v>
      </c>
      <c r="AA172" s="8">
        <v>2.2622791686824264E-2</v>
      </c>
      <c r="AC172">
        <v>170</v>
      </c>
      <c r="AD172" s="8">
        <v>3.2862538047172755E-2</v>
      </c>
      <c r="AF172">
        <v>170</v>
      </c>
      <c r="AG172" s="8">
        <v>1.6495743130477497E-2</v>
      </c>
    </row>
    <row r="173" spans="1:33" ht="15" customHeight="1" x14ac:dyDescent="0.35">
      <c r="A173" vm="361">
        <f ca="1"/>
        <v>45540</v>
      </c>
      <c r="B173" s="6" vm="362">
        <f ca="1"/>
        <v>408.39</v>
      </c>
      <c r="C173" s="2">
        <f t="shared" ca="1" si="9"/>
        <v>-1.2480271781052238E-3</v>
      </c>
      <c r="Z173">
        <v>171</v>
      </c>
      <c r="AA173" s="8">
        <v>3.6347672913376969E-2</v>
      </c>
      <c r="AC173">
        <v>171</v>
      </c>
      <c r="AD173" s="8">
        <v>1.9591026896970634E-2</v>
      </c>
      <c r="AF173">
        <v>171</v>
      </c>
      <c r="AG173" s="8">
        <v>2.3071679111127466E-2</v>
      </c>
    </row>
    <row r="174" spans="1:33" ht="15" customHeight="1" x14ac:dyDescent="0.35">
      <c r="A174" vm="363">
        <f ca="1"/>
        <v>45541</v>
      </c>
      <c r="B174" s="6" vm="364">
        <f ca="1"/>
        <v>401.7</v>
      </c>
      <c r="C174" s="2">
        <f t="shared" ca="1" si="9"/>
        <v>-1.6517058827254908E-2</v>
      </c>
      <c r="Z174">
        <v>172</v>
      </c>
      <c r="AA174" s="8">
        <v>3.0446990035914064E-2</v>
      </c>
      <c r="AC174">
        <v>172</v>
      </c>
      <c r="AD174" s="8">
        <v>3.2948950832841488E-2</v>
      </c>
      <c r="AF174">
        <v>172</v>
      </c>
      <c r="AG174" s="8">
        <v>2.3372084217448533E-2</v>
      </c>
    </row>
    <row r="175" spans="1:33" ht="15" customHeight="1" x14ac:dyDescent="0.35">
      <c r="A175" vm="365">
        <f ca="1"/>
        <v>45544</v>
      </c>
      <c r="B175" s="6" vm="366">
        <f ca="1"/>
        <v>405.72</v>
      </c>
      <c r="C175" s="2">
        <f t="shared" ca="1" si="9"/>
        <v>9.9577251425585992E-3</v>
      </c>
      <c r="Z175">
        <v>173</v>
      </c>
      <c r="AA175" s="8">
        <v>7.4121362479708006E-2</v>
      </c>
      <c r="AC175">
        <v>173</v>
      </c>
      <c r="AD175" s="8">
        <v>2.6974171035760178E-2</v>
      </c>
      <c r="AF175">
        <v>173</v>
      </c>
      <c r="AG175" s="8">
        <v>2.3474864466492159E-2</v>
      </c>
    </row>
    <row r="176" spans="1:33" ht="15" customHeight="1" x14ac:dyDescent="0.35">
      <c r="A176" vm="367">
        <f ca="1"/>
        <v>45545</v>
      </c>
      <c r="B176" s="6" vm="368">
        <f ca="1"/>
        <v>414.2</v>
      </c>
      <c r="C176" s="2">
        <f t="shared" ca="1" si="9"/>
        <v>2.0685682453688709E-2</v>
      </c>
      <c r="Z176">
        <v>174</v>
      </c>
      <c r="AA176" s="8">
        <v>2.5699112258484626E-2</v>
      </c>
      <c r="AC176">
        <v>174</v>
      </c>
      <c r="AD176" s="8">
        <v>5.3958940307716571E-2</v>
      </c>
      <c r="AF176">
        <v>174</v>
      </c>
      <c r="AG176" s="8">
        <v>2.2111614687439517E-2</v>
      </c>
    </row>
    <row r="177" spans="1:33" ht="15" customHeight="1" x14ac:dyDescent="0.35">
      <c r="A177" vm="369">
        <f ca="1"/>
        <v>45546</v>
      </c>
      <c r="B177" s="6" vm="370">
        <f ca="1"/>
        <v>423.04</v>
      </c>
      <c r="C177" s="2">
        <f t="shared" ca="1" si="9"/>
        <v>2.1117788261783055E-2</v>
      </c>
      <c r="Z177">
        <v>175</v>
      </c>
      <c r="AA177" s="8">
        <v>8.0728500404621178E-2</v>
      </c>
      <c r="AC177">
        <v>175</v>
      </c>
      <c r="AD177" s="8">
        <v>2.4105389339069951E-2</v>
      </c>
      <c r="AF177">
        <v>175</v>
      </c>
      <c r="AG177" s="8">
        <v>2.1525444008801648E-2</v>
      </c>
    </row>
    <row r="178" spans="1:33" ht="15" customHeight="1" x14ac:dyDescent="0.35">
      <c r="A178" vm="371">
        <f ca="1"/>
        <v>45547</v>
      </c>
      <c r="B178" s="6" vm="220">
        <f ca="1"/>
        <v>427</v>
      </c>
      <c r="C178" s="2">
        <f t="shared" ca="1" si="9"/>
        <v>9.317276005357816E-3</v>
      </c>
      <c r="Z178">
        <v>176</v>
      </c>
      <c r="AA178" s="8">
        <v>6.0408789288429451E-2</v>
      </c>
      <c r="AC178">
        <v>176</v>
      </c>
      <c r="AD178" s="8">
        <v>3.2433730265961039E-2</v>
      </c>
      <c r="AF178">
        <v>176</v>
      </c>
      <c r="AG178" s="8">
        <v>2.2167147609997016E-2</v>
      </c>
    </row>
    <row r="179" spans="1:33" ht="15" customHeight="1" x14ac:dyDescent="0.35">
      <c r="A179" vm="372">
        <f ca="1"/>
        <v>45548</v>
      </c>
      <c r="B179" s="6" vm="373">
        <f ca="1"/>
        <v>430.59</v>
      </c>
      <c r="C179" s="2">
        <f t="shared" ca="1" si="9"/>
        <v>8.3723480227740621E-3</v>
      </c>
      <c r="Z179">
        <v>177</v>
      </c>
      <c r="AA179" s="8">
        <v>4.9074986673382705E-2</v>
      </c>
      <c r="AC179">
        <v>177</v>
      </c>
      <c r="AD179" s="8">
        <v>2.6482346188280461E-2</v>
      </c>
      <c r="AF179">
        <v>177</v>
      </c>
      <c r="AG179" s="8">
        <v>2.3094505192884116E-2</v>
      </c>
    </row>
    <row r="180" spans="1:33" ht="15" customHeight="1" x14ac:dyDescent="0.35">
      <c r="A180" vm="374">
        <f ca="1"/>
        <v>45551</v>
      </c>
      <c r="B180" s="6" vm="375">
        <f ca="1"/>
        <v>431.34</v>
      </c>
      <c r="C180" s="2">
        <f t="shared" ca="1" si="9"/>
        <v>1.7402809724365456E-3</v>
      </c>
      <c r="Z180">
        <v>178</v>
      </c>
      <c r="AA180" s="8">
        <v>2.4298228849741591E-2</v>
      </c>
      <c r="AC180">
        <v>178</v>
      </c>
      <c r="AD180" s="8">
        <v>2.3171074716456245E-2</v>
      </c>
      <c r="AF180">
        <v>178</v>
      </c>
      <c r="AG180" s="8">
        <v>2.3248369760964113E-2</v>
      </c>
    </row>
    <row r="181" spans="1:33" ht="15" customHeight="1" x14ac:dyDescent="0.35">
      <c r="A181" vm="376">
        <f ca="1"/>
        <v>45552</v>
      </c>
      <c r="B181" s="6" vm="377">
        <f ca="1"/>
        <v>435.15</v>
      </c>
      <c r="C181" s="2">
        <f t="shared" ca="1" si="9"/>
        <v>8.7941570116875194E-3</v>
      </c>
      <c r="Z181">
        <v>179</v>
      </c>
      <c r="AA181" s="8">
        <v>3.8933021772505634E-2</v>
      </c>
      <c r="AC181">
        <v>179</v>
      </c>
      <c r="AD181" s="8">
        <v>3.3187721197041491E-2</v>
      </c>
      <c r="AF181">
        <v>179</v>
      </c>
      <c r="AG181" s="8">
        <v>1.6008894880876607E-2</v>
      </c>
    </row>
    <row r="182" spans="1:33" ht="15" customHeight="1" x14ac:dyDescent="0.35">
      <c r="A182" vm="378">
        <f ca="1"/>
        <v>45553</v>
      </c>
      <c r="B182" s="6" vm="379">
        <f ca="1"/>
        <v>430.81</v>
      </c>
      <c r="C182" s="2">
        <f t="shared" ca="1" si="9"/>
        <v>-1.0023641595028616E-2</v>
      </c>
      <c r="Z182">
        <v>180</v>
      </c>
      <c r="AA182" s="8">
        <v>3.6773653953366528E-2</v>
      </c>
      <c r="AC182">
        <v>180</v>
      </c>
      <c r="AD182" s="8">
        <v>6.4192950011273273E-2</v>
      </c>
      <c r="AF182">
        <v>180</v>
      </c>
      <c r="AG182" s="8">
        <v>2.3589239368451365E-2</v>
      </c>
    </row>
    <row r="183" spans="1:33" ht="15" customHeight="1" x14ac:dyDescent="0.35">
      <c r="A183" vm="380">
        <f ca="1"/>
        <v>45554</v>
      </c>
      <c r="B183" s="6" vm="381">
        <f ca="1"/>
        <v>438.69</v>
      </c>
      <c r="C183" s="2">
        <f t="shared" ca="1" si="9"/>
        <v>1.8125855651403351E-2</v>
      </c>
      <c r="Z183">
        <v>181</v>
      </c>
      <c r="AA183" s="8">
        <v>3.1613462300970306E-2</v>
      </c>
      <c r="AC183">
        <v>181</v>
      </c>
      <c r="AD183" s="8">
        <v>1.7346515088938898E-2</v>
      </c>
      <c r="AF183">
        <v>181</v>
      </c>
      <c r="AG183" s="8">
        <v>2.2951919339366435E-2</v>
      </c>
    </row>
    <row r="184" spans="1:33" ht="15" customHeight="1" x14ac:dyDescent="0.35">
      <c r="A184" vm="382">
        <f ca="1"/>
        <v>45555</v>
      </c>
      <c r="B184" s="6" vm="383">
        <f ca="1"/>
        <v>435.27</v>
      </c>
      <c r="C184" s="2">
        <f t="shared" ca="1" si="9"/>
        <v>-7.8264850961940139E-3</v>
      </c>
      <c r="Z184">
        <v>182</v>
      </c>
      <c r="AA184" s="8">
        <v>2.3018868744988062E-2</v>
      </c>
      <c r="AC184">
        <v>182</v>
      </c>
      <c r="AD184" s="8">
        <v>5.3813394606634854E-2</v>
      </c>
      <c r="AF184">
        <v>182</v>
      </c>
      <c r="AG184" s="8">
        <v>2.2902772573430222E-2</v>
      </c>
    </row>
    <row r="185" spans="1:33" ht="15" customHeight="1" x14ac:dyDescent="0.35">
      <c r="A185" vm="384">
        <f ca="1"/>
        <v>45558</v>
      </c>
      <c r="B185" s="6" vm="385">
        <f ca="1"/>
        <v>433.51</v>
      </c>
      <c r="C185" s="2">
        <f t="shared" ca="1" si="9"/>
        <v>-4.051664190420563E-3</v>
      </c>
      <c r="Z185">
        <v>183</v>
      </c>
      <c r="AA185" s="8">
        <v>2.388749827770455E-2</v>
      </c>
      <c r="AC185">
        <v>183</v>
      </c>
      <c r="AD185" s="8">
        <v>4.3721727055739644E-2</v>
      </c>
      <c r="AF185">
        <v>183</v>
      </c>
      <c r="AG185" s="8">
        <v>2.4209736449990308E-2</v>
      </c>
    </row>
    <row r="186" spans="1:33" ht="15" customHeight="1" x14ac:dyDescent="0.35">
      <c r="A186" vm="386">
        <f ca="1"/>
        <v>45559</v>
      </c>
      <c r="B186" s="6" vm="226">
        <f ca="1"/>
        <v>429.17</v>
      </c>
      <c r="C186" s="2">
        <f t="shared" ca="1" si="9"/>
        <v>-1.0061753175372987E-2</v>
      </c>
      <c r="Z186">
        <v>184</v>
      </c>
      <c r="AA186" s="8">
        <v>3.4039315096368358E-2</v>
      </c>
      <c r="AC186">
        <v>184</v>
      </c>
      <c r="AD186" s="8">
        <v>2.1112013942500583E-2</v>
      </c>
      <c r="AF186">
        <v>184</v>
      </c>
      <c r="AG186" s="8">
        <v>2.2916992691300396E-2</v>
      </c>
    </row>
    <row r="187" spans="1:33" ht="15" customHeight="1" x14ac:dyDescent="0.35">
      <c r="A187" vm="387">
        <f ca="1"/>
        <v>45560</v>
      </c>
      <c r="B187" s="6" vm="388">
        <f ca="1"/>
        <v>432.11</v>
      </c>
      <c r="C187" s="2">
        <f t="shared" ca="1" si="9"/>
        <v>6.8270746312079078E-3</v>
      </c>
      <c r="Z187">
        <v>185</v>
      </c>
      <c r="AA187" s="8">
        <v>1.6732594230085031E-2</v>
      </c>
      <c r="AC187">
        <v>185</v>
      </c>
      <c r="AD187" s="8">
        <v>3.3926409991339626E-2</v>
      </c>
      <c r="AF187">
        <v>185</v>
      </c>
      <c r="AG187" s="8">
        <v>2.2760245997592146E-2</v>
      </c>
    </row>
    <row r="188" spans="1:33" ht="15" customHeight="1" x14ac:dyDescent="0.35">
      <c r="A188" vm="389">
        <f ca="1"/>
        <v>45561</v>
      </c>
      <c r="B188" s="6" vm="390">
        <f ca="1"/>
        <v>431.31</v>
      </c>
      <c r="C188" s="2">
        <f t="shared" ca="1" si="9"/>
        <v>-1.8530963585069932E-3</v>
      </c>
      <c r="Z188">
        <v>186</v>
      </c>
      <c r="AA188" s="8">
        <v>2.6657997907033708E-2</v>
      </c>
      <c r="AC188">
        <v>186</v>
      </c>
      <c r="AD188" s="8">
        <v>3.1765711577499182E-2</v>
      </c>
      <c r="AF188">
        <v>186</v>
      </c>
      <c r="AG188" s="8">
        <v>2.369410917246377E-2</v>
      </c>
    </row>
    <row r="189" spans="1:33" ht="15" customHeight="1" x14ac:dyDescent="0.35">
      <c r="A189" vm="391">
        <f ca="1"/>
        <v>45562</v>
      </c>
      <c r="B189" s="6" vm="392">
        <f ca="1"/>
        <v>428.02</v>
      </c>
      <c r="C189" s="2">
        <f t="shared" ca="1" si="9"/>
        <v>-7.6571656406158482E-3</v>
      </c>
      <c r="Z189">
        <v>187</v>
      </c>
      <c r="AA189" s="8">
        <v>3.740689179633603E-2</v>
      </c>
      <c r="AC189">
        <v>187</v>
      </c>
      <c r="AD189" s="8">
        <v>3.2534069931205452E-2</v>
      </c>
      <c r="AF189">
        <v>187</v>
      </c>
      <c r="AG189" s="8">
        <v>2.3422689401946997E-2</v>
      </c>
    </row>
    <row r="190" spans="1:33" ht="15" customHeight="1" x14ac:dyDescent="0.35">
      <c r="A190" vm="393">
        <f ca="1"/>
        <v>45565</v>
      </c>
      <c r="B190" s="6" vm="394">
        <f ca="1"/>
        <v>430.3</v>
      </c>
      <c r="C190" s="2">
        <f t="shared" ca="1" si="9"/>
        <v>5.3127163825590863E-3</v>
      </c>
      <c r="Z190">
        <v>188</v>
      </c>
      <c r="AA190" s="8">
        <v>6.0981510407131956E-2</v>
      </c>
      <c r="AC190">
        <v>188</v>
      </c>
      <c r="AD190" s="8">
        <v>4.7565933486382675E-2</v>
      </c>
      <c r="AF190">
        <v>188</v>
      </c>
      <c r="AG190" s="8">
        <v>2.3029678886280432E-2</v>
      </c>
    </row>
    <row r="191" spans="1:33" ht="15" customHeight="1" x14ac:dyDescent="0.35">
      <c r="A191" vm="395">
        <f ca="1"/>
        <v>45566</v>
      </c>
      <c r="B191" s="6" vm="396">
        <f ca="1"/>
        <v>420.69</v>
      </c>
      <c r="C191" s="2">
        <f t="shared" ca="1" si="9"/>
        <v>-2.2586419437884826E-2</v>
      </c>
      <c r="Z191">
        <v>189</v>
      </c>
      <c r="AA191" s="8">
        <v>1.7580462770000343E-2</v>
      </c>
      <c r="AC191">
        <v>189</v>
      </c>
      <c r="AD191" s="8">
        <v>2.7149543945240676E-2</v>
      </c>
      <c r="AF191">
        <v>189</v>
      </c>
      <c r="AG191" s="8">
        <v>1.4511512466275861E-2</v>
      </c>
    </row>
    <row r="192" spans="1:33" ht="15" customHeight="1" x14ac:dyDescent="0.35">
      <c r="A192" vm="397">
        <f ca="1"/>
        <v>45567</v>
      </c>
      <c r="B192" s="6" vm="398">
        <f ca="1"/>
        <v>417.13</v>
      </c>
      <c r="C192" s="2">
        <f t="shared" ca="1" si="9"/>
        <v>-8.4982965924682314E-3</v>
      </c>
      <c r="Z192">
        <v>190</v>
      </c>
      <c r="AA192" s="8">
        <v>5.3850235159126035E-2</v>
      </c>
      <c r="AC192">
        <v>190</v>
      </c>
      <c r="AD192" s="8">
        <v>3.3965764852120169E-2</v>
      </c>
      <c r="AF192">
        <v>190</v>
      </c>
      <c r="AG192" s="8">
        <v>2.2769700355653576E-2</v>
      </c>
    </row>
    <row r="193" spans="1:33" ht="15" customHeight="1" x14ac:dyDescent="0.35">
      <c r="A193" vm="399">
        <f ca="1"/>
        <v>45568</v>
      </c>
      <c r="B193" s="6" vm="400">
        <f ca="1"/>
        <v>416.54</v>
      </c>
      <c r="C193" s="2">
        <f t="shared" ca="1" si="9"/>
        <v>-1.415428403330617E-3</v>
      </c>
      <c r="Z193">
        <v>191</v>
      </c>
      <c r="AA193" s="8">
        <v>7.7762934753673227E-2</v>
      </c>
      <c r="AC193">
        <v>191</v>
      </c>
      <c r="AD193" s="8">
        <v>4.5979006109578745E-2</v>
      </c>
      <c r="AF193">
        <v>191</v>
      </c>
      <c r="AG193" s="8">
        <v>2.3913101743551622E-2</v>
      </c>
    </row>
    <row r="194" spans="1:33" ht="15" customHeight="1" x14ac:dyDescent="0.35">
      <c r="A194" vm="401">
        <f ca="1"/>
        <v>45569</v>
      </c>
      <c r="B194" s="6" vm="402">
        <f ca="1"/>
        <v>416.06</v>
      </c>
      <c r="C194" s="2">
        <f t="shared" ca="1" si="9"/>
        <v>-1.1530147806335601E-3</v>
      </c>
      <c r="Z194">
        <v>192</v>
      </c>
      <c r="AA194" s="8">
        <v>1.0509831075170421E-2</v>
      </c>
      <c r="AC194">
        <v>192</v>
      </c>
      <c r="AD194" s="8">
        <v>4.0402515005204066E-2</v>
      </c>
      <c r="AF194">
        <v>192</v>
      </c>
      <c r="AG194" s="8">
        <v>2.3171216495298116E-2</v>
      </c>
    </row>
    <row r="195" spans="1:33" ht="15" customHeight="1" x14ac:dyDescent="0.35">
      <c r="A195" vm="403">
        <f ca="1"/>
        <v>45572</v>
      </c>
      <c r="B195" s="6" vm="404">
        <f ca="1"/>
        <v>409.54</v>
      </c>
      <c r="C195" s="2">
        <f t="shared" ca="1" si="9"/>
        <v>-1.5794902009822458E-2</v>
      </c>
      <c r="Z195">
        <v>193</v>
      </c>
      <c r="AA195" s="8">
        <v>3.097529767796357E-2</v>
      </c>
      <c r="AC195">
        <v>193</v>
      </c>
      <c r="AD195" s="8">
        <v>3.1129753856867937E-2</v>
      </c>
      <c r="AF195">
        <v>193</v>
      </c>
      <c r="AG195" s="8">
        <v>2.2246172524793092E-2</v>
      </c>
    </row>
    <row r="196" spans="1:33" ht="15" customHeight="1" x14ac:dyDescent="0.35">
      <c r="A196" vm="405">
        <f ca="1"/>
        <v>45573</v>
      </c>
      <c r="B196" s="6" vm="406">
        <f ca="1"/>
        <v>414.71</v>
      </c>
      <c r="C196" s="2">
        <f t="shared" ca="1" si="9"/>
        <v>1.2544902158405345E-2</v>
      </c>
      <c r="Z196">
        <v>194</v>
      </c>
      <c r="AA196" s="8">
        <v>1.8169617491923504E-2</v>
      </c>
      <c r="AC196">
        <v>194</v>
      </c>
      <c r="AD196" s="8">
        <v>1.7870694191834093E-2</v>
      </c>
      <c r="AF196">
        <v>194</v>
      </c>
      <c r="AG196" s="8">
        <v>2.3207087994242589E-2</v>
      </c>
    </row>
    <row r="197" spans="1:33" ht="15" customHeight="1" x14ac:dyDescent="0.35">
      <c r="A197" vm="407">
        <f ca="1"/>
        <v>45574</v>
      </c>
      <c r="B197" s="6" vm="408">
        <f ca="1"/>
        <v>417.46</v>
      </c>
      <c r="C197" s="2">
        <f t="shared" ca="1" si="9"/>
        <v>6.6092505389408794E-3</v>
      </c>
      <c r="Z197">
        <v>195</v>
      </c>
      <c r="AA197" s="8">
        <v>3.5800308733150779E-2</v>
      </c>
      <c r="AC197">
        <v>195</v>
      </c>
      <c r="AD197" s="8">
        <v>4.8874871699979193E-2</v>
      </c>
      <c r="AF197">
        <v>195</v>
      </c>
      <c r="AG197" s="8">
        <v>2.2683362710217033E-2</v>
      </c>
    </row>
    <row r="198" spans="1:33" ht="15" customHeight="1" x14ac:dyDescent="0.35">
      <c r="A198" vm="409">
        <f ca="1"/>
        <v>45575</v>
      </c>
      <c r="B198" s="6" vm="410">
        <f ca="1"/>
        <v>415.84</v>
      </c>
      <c r="C198" s="2">
        <f t="shared" ref="C198:C261" ca="1" si="10">IFERROR(LN(B198/B197),C197)</f>
        <v>-3.8881604245801747E-3</v>
      </c>
      <c r="Z198">
        <v>196</v>
      </c>
      <c r="AA198" s="8">
        <v>6.9196980095323782E-2</v>
      </c>
      <c r="AC198">
        <v>196</v>
      </c>
      <c r="AD198" s="8">
        <v>3.2961992451748072E-2</v>
      </c>
      <c r="AF198">
        <v>196</v>
      </c>
      <c r="AG198" s="8">
        <v>2.314650787195718E-2</v>
      </c>
    </row>
    <row r="199" spans="1:33" ht="15" customHeight="1" x14ac:dyDescent="0.35">
      <c r="A199" vm="411">
        <f ca="1"/>
        <v>45576</v>
      </c>
      <c r="B199" s="6" vm="412">
        <f ca="1"/>
        <v>416.32</v>
      </c>
      <c r="C199" s="2">
        <f t="shared" ca="1" si="10"/>
        <v>1.1536244309604711E-3</v>
      </c>
      <c r="Z199">
        <v>197</v>
      </c>
      <c r="AA199" s="8">
        <v>1.848343568434439E-2</v>
      </c>
      <c r="AC199">
        <v>197</v>
      </c>
      <c r="AD199" s="8">
        <v>8.3276071287577996E-2</v>
      </c>
      <c r="AF199">
        <v>197</v>
      </c>
      <c r="AG199" s="8">
        <v>2.3157032889236227E-2</v>
      </c>
    </row>
    <row r="200" spans="1:33" ht="15" customHeight="1" x14ac:dyDescent="0.35">
      <c r="A200" vm="413">
        <f ca="1"/>
        <v>45579</v>
      </c>
      <c r="B200" s="6" vm="414">
        <f ca="1"/>
        <v>419.14</v>
      </c>
      <c r="C200" s="2">
        <f t="shared" ca="1" si="10"/>
        <v>6.7507976676563454E-3</v>
      </c>
      <c r="Z200">
        <v>198</v>
      </c>
      <c r="AA200" s="8">
        <v>1.738602756618346E-2</v>
      </c>
      <c r="AC200">
        <v>198</v>
      </c>
      <c r="AD200" s="8">
        <v>5.0402826212423667E-2</v>
      </c>
      <c r="AF200">
        <v>198</v>
      </c>
      <c r="AG200" s="8">
        <v>2.3014406194578538E-2</v>
      </c>
    </row>
    <row r="201" spans="1:33" ht="15" customHeight="1" x14ac:dyDescent="0.35">
      <c r="A201" vm="415">
        <f ca="1"/>
        <v>45580</v>
      </c>
      <c r="B201" s="6" vm="416">
        <f ca="1"/>
        <v>418.74</v>
      </c>
      <c r="C201" s="2">
        <f t="shared" ca="1" si="10"/>
        <v>-9.5479073468157682E-4</v>
      </c>
      <c r="Z201">
        <v>199</v>
      </c>
      <c r="AA201" s="8">
        <v>1.4546137545863608E-2</v>
      </c>
      <c r="AC201">
        <v>199</v>
      </c>
      <c r="AD201" s="8">
        <v>2.3386747871490202E-2</v>
      </c>
      <c r="AF201">
        <v>199</v>
      </c>
      <c r="AG201" s="8">
        <v>6.8375932802689152E-2</v>
      </c>
    </row>
    <row r="202" spans="1:33" ht="15" customHeight="1" x14ac:dyDescent="0.35">
      <c r="A202" vm="417">
        <f ca="1"/>
        <v>45581</v>
      </c>
      <c r="B202" s="6" vm="418">
        <f ca="1"/>
        <v>416.12</v>
      </c>
      <c r="C202" s="2">
        <f t="shared" ca="1" si="10"/>
        <v>-6.2765220544207835E-3</v>
      </c>
      <c r="Z202">
        <v>200</v>
      </c>
      <c r="AA202" s="8">
        <v>2.3154347251729296E-2</v>
      </c>
      <c r="AC202">
        <v>200</v>
      </c>
      <c r="AD202" s="8">
        <v>3.9465057075996388E-2</v>
      </c>
      <c r="AF202">
        <v>200</v>
      </c>
      <c r="AG202" s="8">
        <v>2.3633905728549762E-2</v>
      </c>
    </row>
    <row r="203" spans="1:33" ht="15" customHeight="1" x14ac:dyDescent="0.35">
      <c r="A203" vm="419">
        <f ca="1"/>
        <v>45582</v>
      </c>
      <c r="B203" s="6" vm="420">
        <f ca="1"/>
        <v>416.72</v>
      </c>
      <c r="C203" s="2">
        <f t="shared" ca="1" si="10"/>
        <v>1.4408532342417256E-3</v>
      </c>
      <c r="Z203">
        <v>201</v>
      </c>
      <c r="AA203" s="8">
        <v>4.0410683379142012E-2</v>
      </c>
      <c r="AC203">
        <v>201</v>
      </c>
      <c r="AD203" s="8">
        <v>3.6580112663860236E-2</v>
      </c>
      <c r="AF203">
        <v>201</v>
      </c>
      <c r="AG203" s="8">
        <v>2.245377008245639E-2</v>
      </c>
    </row>
    <row r="204" spans="1:33" ht="15" customHeight="1" x14ac:dyDescent="0.35">
      <c r="A204" vm="421">
        <f ca="1"/>
        <v>45583</v>
      </c>
      <c r="B204" s="6" vm="422">
        <f ca="1"/>
        <v>418.16</v>
      </c>
      <c r="C204" s="2">
        <f t="shared" ca="1" si="10"/>
        <v>3.4496009677303843E-3</v>
      </c>
      <c r="Z204">
        <v>202</v>
      </c>
      <c r="AA204" s="8">
        <v>1.7827829589162826E-2</v>
      </c>
      <c r="AC204">
        <v>202</v>
      </c>
      <c r="AD204" s="8">
        <v>4.5449761473324669E-2</v>
      </c>
      <c r="AF204">
        <v>202</v>
      </c>
      <c r="AG204" s="8">
        <v>2.3257422794894303E-2</v>
      </c>
    </row>
    <row r="205" spans="1:33" ht="15" customHeight="1" x14ac:dyDescent="0.35">
      <c r="A205" vm="423">
        <f ca="1"/>
        <v>45586</v>
      </c>
      <c r="B205" s="6" vm="424">
        <f ca="1"/>
        <v>418.78</v>
      </c>
      <c r="C205" s="2">
        <f t="shared" ca="1" si="10"/>
        <v>1.4815879595039864E-3</v>
      </c>
      <c r="Z205">
        <v>203</v>
      </c>
      <c r="AA205" s="8">
        <v>9.1370696998932896E-2</v>
      </c>
      <c r="AC205">
        <v>203</v>
      </c>
      <c r="AD205" s="8">
        <v>3.1893582993944729E-2</v>
      </c>
      <c r="AF205">
        <v>203</v>
      </c>
      <c r="AG205" s="8">
        <v>2.3109600323529645E-2</v>
      </c>
    </row>
    <row r="206" spans="1:33" ht="15" customHeight="1" x14ac:dyDescent="0.35">
      <c r="A206" vm="425">
        <f ca="1"/>
        <v>45587</v>
      </c>
      <c r="B206" s="6" vm="426">
        <f ca="1"/>
        <v>427.51</v>
      </c>
      <c r="C206" s="2">
        <f t="shared" ca="1" si="10"/>
        <v>2.0631957551925872E-2</v>
      </c>
      <c r="Z206">
        <v>204</v>
      </c>
      <c r="AA206" s="8">
        <v>2.061438047814949E-2</v>
      </c>
      <c r="AC206">
        <v>204</v>
      </c>
      <c r="AD206" s="8">
        <v>2.0574341351630113E-2</v>
      </c>
      <c r="AF206">
        <v>204</v>
      </c>
      <c r="AG206" s="8">
        <v>2.2418527281299002E-2</v>
      </c>
    </row>
    <row r="207" spans="1:33" ht="15" customHeight="1" x14ac:dyDescent="0.35">
      <c r="A207" vm="427">
        <f ca="1"/>
        <v>45588</v>
      </c>
      <c r="B207" s="6" vm="428">
        <f ca="1"/>
        <v>424.6</v>
      </c>
      <c r="C207" s="2">
        <f t="shared" ca="1" si="10"/>
        <v>-6.8301306469403964E-3</v>
      </c>
      <c r="Z207">
        <v>205</v>
      </c>
      <c r="AA207" s="8">
        <v>3.6139788302320994E-2</v>
      </c>
      <c r="AC207">
        <v>205</v>
      </c>
      <c r="AD207" s="8">
        <v>4.3307197798464453E-2</v>
      </c>
      <c r="AF207">
        <v>205</v>
      </c>
      <c r="AG207" s="8">
        <v>2.3086647729225383E-2</v>
      </c>
    </row>
    <row r="208" spans="1:33" ht="15" customHeight="1" x14ac:dyDescent="0.35">
      <c r="A208" vm="429">
        <f ca="1"/>
        <v>45589</v>
      </c>
      <c r="B208" s="6" vm="430">
        <f ca="1"/>
        <v>424.73</v>
      </c>
      <c r="C208" s="2">
        <f t="shared" ca="1" si="10"/>
        <v>3.0612365279741416E-4</v>
      </c>
      <c r="Z208">
        <v>206</v>
      </c>
      <c r="AA208" s="8">
        <v>2.0906655438794431E-2</v>
      </c>
      <c r="AC208">
        <v>206</v>
      </c>
      <c r="AD208" s="8">
        <v>3.4982000380223206E-2</v>
      </c>
      <c r="AF208">
        <v>206</v>
      </c>
      <c r="AG208" s="8">
        <v>2.1619751036848597E-2</v>
      </c>
    </row>
    <row r="209" spans="1:33" ht="15" customHeight="1" x14ac:dyDescent="0.35">
      <c r="A209" vm="431">
        <f ca="1"/>
        <v>45590</v>
      </c>
      <c r="B209" s="6" vm="432">
        <f ca="1"/>
        <v>428.15</v>
      </c>
      <c r="C209" s="2">
        <f t="shared" ca="1" si="10"/>
        <v>8.0199285502477527E-3</v>
      </c>
      <c r="Z209">
        <v>207</v>
      </c>
      <c r="AA209" s="8">
        <v>1.7468109876322895E-2</v>
      </c>
      <c r="AC209">
        <v>207</v>
      </c>
      <c r="AD209" s="8">
        <v>5.2659888149749971E-2</v>
      </c>
      <c r="AF209">
        <v>207</v>
      </c>
      <c r="AG209" s="8">
        <v>2.2492517264487224E-2</v>
      </c>
    </row>
    <row r="210" spans="1:33" ht="15" customHeight="1" x14ac:dyDescent="0.35">
      <c r="A210" vm="433">
        <f ca="1"/>
        <v>45593</v>
      </c>
      <c r="B210" s="6" vm="434">
        <f ca="1"/>
        <v>426.59</v>
      </c>
      <c r="C210" s="2">
        <f t="shared" ca="1" si="10"/>
        <v>-3.6502368723809321E-3</v>
      </c>
      <c r="Z210">
        <v>208</v>
      </c>
      <c r="AA210" s="8">
        <v>1.8670818550904873E-2</v>
      </c>
      <c r="AC210">
        <v>208</v>
      </c>
      <c r="AD210" s="8">
        <v>3.039251964172612E-2</v>
      </c>
      <c r="AF210">
        <v>208</v>
      </c>
      <c r="AG210" s="8">
        <v>2.2555660728692039E-2</v>
      </c>
    </row>
    <row r="211" spans="1:33" ht="15" customHeight="1" x14ac:dyDescent="0.35">
      <c r="A211" vm="435">
        <f ca="1"/>
        <v>45594</v>
      </c>
      <c r="B211" s="6" vm="436">
        <f ca="1"/>
        <v>431.95</v>
      </c>
      <c r="C211" s="2">
        <f t="shared" ca="1" si="10"/>
        <v>1.2486476205073024E-2</v>
      </c>
      <c r="Z211">
        <v>209</v>
      </c>
      <c r="AA211" s="8">
        <v>2.0776776149860295E-2</v>
      </c>
      <c r="AC211">
        <v>209</v>
      </c>
      <c r="AD211" s="8">
        <v>2.2853356289517453E-2</v>
      </c>
      <c r="AF211">
        <v>209</v>
      </c>
      <c r="AG211" s="8">
        <v>2.3248927634256275E-2</v>
      </c>
    </row>
    <row r="212" spans="1:33" ht="15" customHeight="1" x14ac:dyDescent="0.35">
      <c r="A212" vm="437">
        <f ca="1"/>
        <v>45595</v>
      </c>
      <c r="B212" s="6" vm="438">
        <f ca="1"/>
        <v>432.53</v>
      </c>
      <c r="C212" s="2">
        <f t="shared" ca="1" si="10"/>
        <v>1.3418473233082768E-3</v>
      </c>
      <c r="Z212">
        <v>210</v>
      </c>
      <c r="AA212" s="8">
        <v>3.5779601202176929E-2</v>
      </c>
      <c r="AC212">
        <v>210</v>
      </c>
      <c r="AD212" s="8">
        <v>2.6498899051837044E-2</v>
      </c>
      <c r="AF212">
        <v>210</v>
      </c>
      <c r="AG212" s="8">
        <v>2.8873756666796747E-2</v>
      </c>
    </row>
    <row r="213" spans="1:33" ht="15" customHeight="1" x14ac:dyDescent="0.35">
      <c r="A213" vm="439">
        <f ca="1"/>
        <v>45596</v>
      </c>
      <c r="B213" s="6" vm="440">
        <f ca="1"/>
        <v>406.35</v>
      </c>
      <c r="C213" s="2">
        <f t="shared" ca="1" si="10"/>
        <v>-6.2436830928987566E-2</v>
      </c>
      <c r="Z213">
        <v>211</v>
      </c>
      <c r="AA213" s="8">
        <v>2.8859423837336202E-2</v>
      </c>
      <c r="AC213">
        <v>211</v>
      </c>
      <c r="AD213" s="8">
        <v>2.26645016997035E-2</v>
      </c>
      <c r="AF213">
        <v>211</v>
      </c>
      <c r="AG213" s="8">
        <v>2.2799974632247498E-2</v>
      </c>
    </row>
    <row r="214" spans="1:33" ht="15" customHeight="1" x14ac:dyDescent="0.35">
      <c r="A214" vm="441">
        <f ca="1"/>
        <v>45597</v>
      </c>
      <c r="B214" s="6" vm="442">
        <f ca="1"/>
        <v>410.37</v>
      </c>
      <c r="C214" s="2">
        <f t="shared" ca="1" si="10"/>
        <v>9.8443345702487126E-3</v>
      </c>
      <c r="Z214">
        <v>212</v>
      </c>
      <c r="AA214" s="8">
        <v>3.0812342000260874E-2</v>
      </c>
      <c r="AC214">
        <v>212</v>
      </c>
      <c r="AD214" s="8">
        <v>3.8423863154553643E-2</v>
      </c>
      <c r="AF214">
        <v>212</v>
      </c>
      <c r="AG214" s="8">
        <v>2.3544890180633025E-2</v>
      </c>
    </row>
    <row r="215" spans="1:33" ht="15" customHeight="1" x14ac:dyDescent="0.35">
      <c r="A215" vm="443">
        <f ca="1"/>
        <v>45600</v>
      </c>
      <c r="B215" s="6" vm="444">
        <f ca="1"/>
        <v>408.46</v>
      </c>
      <c r="C215" s="2">
        <f t="shared" ca="1" si="10"/>
        <v>-4.6652014804508526E-3</v>
      </c>
      <c r="Z215">
        <v>213</v>
      </c>
      <c r="AA215" s="8">
        <v>4.6852881468168024E-2</v>
      </c>
      <c r="AC215">
        <v>213</v>
      </c>
      <c r="AD215" s="8">
        <v>2.6797021065898596E-2</v>
      </c>
      <c r="AF215">
        <v>213</v>
      </c>
      <c r="AG215" s="8">
        <v>2.3496418408150175E-2</v>
      </c>
    </row>
    <row r="216" spans="1:33" ht="15" customHeight="1" x14ac:dyDescent="0.35">
      <c r="A216" vm="445">
        <f ca="1"/>
        <v>45601</v>
      </c>
      <c r="B216" s="6" vm="446">
        <f ca="1"/>
        <v>411.46</v>
      </c>
      <c r="C216" s="2">
        <f t="shared" ca="1" si="10"/>
        <v>7.3178197570728321E-3</v>
      </c>
      <c r="Z216">
        <v>214</v>
      </c>
      <c r="AA216" s="8">
        <v>1.0190748167852801E-2</v>
      </c>
      <c r="AC216">
        <v>214</v>
      </c>
      <c r="AD216" s="8">
        <v>3.6127397864385818E-2</v>
      </c>
      <c r="AF216">
        <v>214</v>
      </c>
      <c r="AG216" s="8">
        <v>2.3304006125184965E-2</v>
      </c>
    </row>
    <row r="217" spans="1:33" ht="15" customHeight="1" x14ac:dyDescent="0.35">
      <c r="A217" vm="447">
        <f ca="1"/>
        <v>45602</v>
      </c>
      <c r="B217" s="6" vm="448">
        <f ca="1"/>
        <v>420.18</v>
      </c>
      <c r="C217" s="2">
        <f t="shared" ca="1" si="10"/>
        <v>2.0971380849396815E-2</v>
      </c>
      <c r="Z217">
        <v>215</v>
      </c>
      <c r="AA217" s="8">
        <v>3.7454734052330338E-2</v>
      </c>
      <c r="AC217">
        <v>215</v>
      </c>
      <c r="AD217" s="8">
        <v>3.120139472480599E-2</v>
      </c>
      <c r="AF217">
        <v>215</v>
      </c>
      <c r="AG217" s="8">
        <v>2.3354667283062288E-2</v>
      </c>
    </row>
    <row r="218" spans="1:33" ht="15" customHeight="1" x14ac:dyDescent="0.35">
      <c r="A218" vm="449">
        <f ca="1"/>
        <v>45603</v>
      </c>
      <c r="B218" s="6" vm="450">
        <f ca="1"/>
        <v>425.43</v>
      </c>
      <c r="C218" s="2">
        <f t="shared" ca="1" si="10"/>
        <v>1.2417231245883099E-2</v>
      </c>
      <c r="Z218">
        <v>216</v>
      </c>
      <c r="AA218" s="8">
        <v>2.5488197822515206E-2</v>
      </c>
      <c r="AC218">
        <v>216</v>
      </c>
      <c r="AD218" s="8">
        <v>2.7932482843757857E-2</v>
      </c>
      <c r="AF218">
        <v>216</v>
      </c>
      <c r="AG218" s="8">
        <v>2.5283052353541627E-2</v>
      </c>
    </row>
    <row r="219" spans="1:33" ht="15" customHeight="1" x14ac:dyDescent="0.35">
      <c r="A219" vm="451">
        <f ca="1"/>
        <v>45604</v>
      </c>
      <c r="B219" s="6" vm="452">
        <f ca="1"/>
        <v>422.54</v>
      </c>
      <c r="C219" s="2">
        <f t="shared" ca="1" si="10"/>
        <v>-6.8163052692757501E-3</v>
      </c>
      <c r="Z219">
        <v>217</v>
      </c>
      <c r="AA219" s="8">
        <v>1.7070620164319723E-2</v>
      </c>
      <c r="AC219">
        <v>217</v>
      </c>
      <c r="AD219" s="8">
        <v>4.7130570062111937E-2</v>
      </c>
      <c r="AF219">
        <v>217</v>
      </c>
      <c r="AG219" s="8">
        <v>2.2139142837980835E-2</v>
      </c>
    </row>
    <row r="220" spans="1:33" ht="15" customHeight="1" x14ac:dyDescent="0.35">
      <c r="A220" vm="453">
        <f ca="1"/>
        <v>45607</v>
      </c>
      <c r="B220" s="6" vm="454">
        <f ca="1"/>
        <v>418.01</v>
      </c>
      <c r="C220" s="2">
        <f t="shared" ca="1" si="10"/>
        <v>-1.0778761188517328E-2</v>
      </c>
      <c r="Z220">
        <v>218</v>
      </c>
      <c r="AA220" s="8">
        <v>1.5187717882406781E-2</v>
      </c>
      <c r="AC220">
        <v>218</v>
      </c>
      <c r="AD220" s="8">
        <v>7.9880876069914605E-2</v>
      </c>
      <c r="AF220">
        <v>218</v>
      </c>
      <c r="AG220" s="8">
        <v>2.34080520865797E-2</v>
      </c>
    </row>
    <row r="221" spans="1:33" ht="15" customHeight="1" x14ac:dyDescent="0.35">
      <c r="A221" vm="455">
        <f ca="1"/>
        <v>45608</v>
      </c>
      <c r="B221" s="6" vm="456">
        <f ca="1"/>
        <v>423.03</v>
      </c>
      <c r="C221" s="2">
        <f t="shared" ca="1" si="10"/>
        <v>1.1937742833676979E-2</v>
      </c>
      <c r="Z221">
        <v>219</v>
      </c>
      <c r="AA221" s="8">
        <v>1.2498891043771868E-2</v>
      </c>
      <c r="AC221">
        <v>219</v>
      </c>
      <c r="AD221" s="8">
        <v>3.4427591450192412E-2</v>
      </c>
      <c r="AF221">
        <v>219</v>
      </c>
      <c r="AG221" s="8">
        <v>2.490318601056897E-2</v>
      </c>
    </row>
    <row r="222" spans="1:33" ht="15" customHeight="1" x14ac:dyDescent="0.35">
      <c r="A222" vm="457">
        <f ca="1"/>
        <v>45609</v>
      </c>
      <c r="B222" s="6" vm="458">
        <f ca="1"/>
        <v>425.2</v>
      </c>
      <c r="C222" s="2">
        <f t="shared" ca="1" si="10"/>
        <v>5.1165479505444512E-3</v>
      </c>
      <c r="Z222">
        <v>220</v>
      </c>
      <c r="AA222" s="8">
        <v>6.5129168577426164E-2</v>
      </c>
      <c r="AC222">
        <v>220</v>
      </c>
      <c r="AD222" s="8">
        <v>2.9290163794533339E-2</v>
      </c>
      <c r="AF222">
        <v>220</v>
      </c>
      <c r="AG222" s="8">
        <v>2.4329041630715906E-2</v>
      </c>
    </row>
    <row r="223" spans="1:33" ht="15" customHeight="1" x14ac:dyDescent="0.35">
      <c r="A223" vm="459">
        <f ca="1"/>
        <v>45610</v>
      </c>
      <c r="B223" s="6" vm="460">
        <f ca="1"/>
        <v>426.89</v>
      </c>
      <c r="C223" s="2">
        <f t="shared" ca="1" si="10"/>
        <v>3.9667223321382299E-3</v>
      </c>
      <c r="Z223">
        <v>221</v>
      </c>
      <c r="AA223" s="8">
        <v>2.737786532867224E-2</v>
      </c>
      <c r="AC223">
        <v>221</v>
      </c>
      <c r="AD223" s="8">
        <v>3.9986302880525876E-2</v>
      </c>
      <c r="AF223">
        <v>221</v>
      </c>
      <c r="AG223" s="8">
        <v>1.9928266210016834E-2</v>
      </c>
    </row>
    <row r="224" spans="1:33" ht="15" customHeight="1" x14ac:dyDescent="0.35">
      <c r="A224" vm="461">
        <f ca="1"/>
        <v>45611</v>
      </c>
      <c r="B224" s="6" vm="462">
        <f ca="1"/>
        <v>415</v>
      </c>
      <c r="C224" s="2">
        <f t="shared" ca="1" si="10"/>
        <v>-2.8247848569232886E-2</v>
      </c>
      <c r="Z224">
        <v>222</v>
      </c>
      <c r="AA224" s="8">
        <v>4.8514977338949897E-2</v>
      </c>
      <c r="AC224">
        <v>222</v>
      </c>
      <c r="AD224" s="8">
        <v>4.3959904954244414E-2</v>
      </c>
      <c r="AF224">
        <v>222</v>
      </c>
      <c r="AG224" s="8">
        <v>2.3437863393186816E-2</v>
      </c>
    </row>
    <row r="225" spans="1:33" ht="15" customHeight="1" x14ac:dyDescent="0.35">
      <c r="A225" vm="463">
        <f ca="1"/>
        <v>45614</v>
      </c>
      <c r="B225" s="6" vm="464">
        <f ca="1"/>
        <v>415.76</v>
      </c>
      <c r="C225" s="2">
        <f t="shared" ca="1" si="10"/>
        <v>1.8296504694880775E-3</v>
      </c>
      <c r="Z225">
        <v>223</v>
      </c>
      <c r="AA225" s="8">
        <v>3.9906356989991461E-2</v>
      </c>
      <c r="AC225">
        <v>223</v>
      </c>
      <c r="AD225" s="8">
        <v>3.2518781654841407E-2</v>
      </c>
      <c r="AF225">
        <v>223</v>
      </c>
      <c r="AG225" s="8">
        <v>2.2802822651177147E-2</v>
      </c>
    </row>
    <row r="226" spans="1:33" ht="15" customHeight="1" x14ac:dyDescent="0.35">
      <c r="A226" vm="465">
        <f ca="1"/>
        <v>45615</v>
      </c>
      <c r="B226" s="6" vm="466">
        <f ca="1"/>
        <v>417.79</v>
      </c>
      <c r="C226" s="2">
        <f t="shared" ca="1" si="10"/>
        <v>4.8707432387547949E-3</v>
      </c>
      <c r="Z226">
        <v>224</v>
      </c>
      <c r="AA226" s="8">
        <v>3.5407262872987434E-2</v>
      </c>
      <c r="AC226">
        <v>224</v>
      </c>
      <c r="AD226" s="8">
        <v>3.4947809686294636E-2</v>
      </c>
      <c r="AF226">
        <v>224</v>
      </c>
      <c r="AG226" s="8">
        <v>2.3094025500838531E-2</v>
      </c>
    </row>
    <row r="227" spans="1:33" ht="15" customHeight="1" x14ac:dyDescent="0.35">
      <c r="A227" vm="467">
        <f ca="1"/>
        <v>45616</v>
      </c>
      <c r="B227" s="6" vm="468">
        <f ca="1"/>
        <v>415.49</v>
      </c>
      <c r="C227" s="2">
        <f t="shared" ca="1" si="10"/>
        <v>-5.5203673217509306E-3</v>
      </c>
      <c r="Z227">
        <v>225</v>
      </c>
      <c r="AA227" s="8">
        <v>1.5536420626377837E-2</v>
      </c>
      <c r="AC227">
        <v>225</v>
      </c>
      <c r="AD227" s="8">
        <v>5.9953405950529295E-2</v>
      </c>
      <c r="AF227">
        <v>225</v>
      </c>
      <c r="AG227" s="8">
        <v>2.3549062870564071E-2</v>
      </c>
    </row>
    <row r="228" spans="1:33" ht="15" customHeight="1" x14ac:dyDescent="0.35">
      <c r="A228" vm="469">
        <f ca="1"/>
        <v>45617</v>
      </c>
      <c r="B228" s="6" vm="470">
        <f ca="1"/>
        <v>412.87</v>
      </c>
      <c r="C228" s="2">
        <f t="shared" ca="1" si="10"/>
        <v>-6.3257731824115397E-3</v>
      </c>
      <c r="Z228">
        <v>226</v>
      </c>
      <c r="AA228" s="8">
        <v>1.8439078395801899E-2</v>
      </c>
      <c r="AC228">
        <v>226</v>
      </c>
      <c r="AD228" s="8">
        <v>3.7500955186820499E-2</v>
      </c>
      <c r="AF228">
        <v>226</v>
      </c>
      <c r="AG228" s="8">
        <v>2.3076218957886731E-2</v>
      </c>
    </row>
    <row r="229" spans="1:33" ht="15" customHeight="1" x14ac:dyDescent="0.35">
      <c r="A229" vm="471">
        <f ca="1"/>
        <v>45618</v>
      </c>
      <c r="B229" s="6" vm="472">
        <f ca="1"/>
        <v>417</v>
      </c>
      <c r="C229" s="2">
        <f t="shared" ca="1" si="10"/>
        <v>9.9534483640226559E-3</v>
      </c>
      <c r="Z229">
        <v>227</v>
      </c>
      <c r="AA229" s="8">
        <v>2.4036131980896429E-2</v>
      </c>
      <c r="AC229">
        <v>227</v>
      </c>
      <c r="AD229" s="8">
        <v>3.3979398109850616E-2</v>
      </c>
      <c r="AF229">
        <v>227</v>
      </c>
      <c r="AG229" s="8">
        <v>2.2744180689598246E-2</v>
      </c>
    </row>
    <row r="230" spans="1:33" ht="15" customHeight="1" x14ac:dyDescent="0.35">
      <c r="A230" vm="473">
        <f ca="1"/>
        <v>45621</v>
      </c>
      <c r="B230" s="6" vm="474">
        <f ca="1"/>
        <v>418.79</v>
      </c>
      <c r="C230" s="2">
        <f t="shared" ca="1" si="10"/>
        <v>4.2833791665618029E-3</v>
      </c>
      <c r="Z230">
        <v>228</v>
      </c>
      <c r="AA230" s="8">
        <v>9.3148371789620599E-3</v>
      </c>
      <c r="AC230">
        <v>228</v>
      </c>
      <c r="AD230" s="8">
        <v>3.0118560338887882E-2</v>
      </c>
      <c r="AF230">
        <v>228</v>
      </c>
      <c r="AG230" s="8">
        <v>2.3829921814331224E-2</v>
      </c>
    </row>
    <row r="231" spans="1:33" ht="15" customHeight="1" x14ac:dyDescent="0.35">
      <c r="A231" vm="475">
        <f ca="1"/>
        <v>45622</v>
      </c>
      <c r="B231" s="6" vm="476">
        <f ca="1"/>
        <v>427.99</v>
      </c>
      <c r="C231" s="2">
        <f t="shared" ca="1" si="10"/>
        <v>2.1730229857498513E-2</v>
      </c>
      <c r="Z231">
        <v>229</v>
      </c>
      <c r="AA231" s="8">
        <v>2.0448336904611519E-2</v>
      </c>
      <c r="AC231">
        <v>229</v>
      </c>
      <c r="AD231" s="8">
        <v>3.376194792538454E-2</v>
      </c>
      <c r="AF231">
        <v>229</v>
      </c>
      <c r="AG231" s="8">
        <v>2.2810886628460612E-2</v>
      </c>
    </row>
    <row r="232" spans="1:33" ht="15" customHeight="1" x14ac:dyDescent="0.35">
      <c r="A232" vm="477">
        <f ca="1"/>
        <v>45623</v>
      </c>
      <c r="B232" s="6" vm="478">
        <f ca="1"/>
        <v>422.99</v>
      </c>
      <c r="C232" s="2">
        <f t="shared" ca="1" si="10"/>
        <v>-1.1751292717967056E-2</v>
      </c>
      <c r="Z232">
        <v>230</v>
      </c>
      <c r="AA232" s="8">
        <v>3.3901744786848584E-2</v>
      </c>
      <c r="AC232">
        <v>230</v>
      </c>
      <c r="AD232" s="8">
        <v>1.6632870630233252E-2</v>
      </c>
      <c r="AF232">
        <v>230</v>
      </c>
      <c r="AG232" s="8">
        <v>2.32088181511894E-2</v>
      </c>
    </row>
    <row r="233" spans="1:33" ht="15" customHeight="1" x14ac:dyDescent="0.35">
      <c r="A233" vm="479">
        <f ca="1"/>
        <v>45625</v>
      </c>
      <c r="B233" s="6" vm="480">
        <f ca="1"/>
        <v>423.46</v>
      </c>
      <c r="C233" s="2">
        <f t="shared" ca="1" si="10"/>
        <v>1.1105205228955624E-3</v>
      </c>
      <c r="Z233">
        <v>231</v>
      </c>
      <c r="AA233" s="8">
        <v>8.2803462966477809E-2</v>
      </c>
      <c r="AC233">
        <v>231</v>
      </c>
      <c r="AD233" s="8">
        <v>2.2665731385947938E-2</v>
      </c>
      <c r="AF233">
        <v>231</v>
      </c>
      <c r="AG233" s="8">
        <v>2.3944730881144238E-2</v>
      </c>
    </row>
    <row r="234" spans="1:33" ht="15" customHeight="1" x14ac:dyDescent="0.35">
      <c r="A234" vm="481">
        <f ca="1"/>
        <v>45628</v>
      </c>
      <c r="B234" s="6" vm="482">
        <f ca="1"/>
        <v>430.98</v>
      </c>
      <c r="C234" s="2">
        <f t="shared" ca="1" si="10"/>
        <v>1.760262668697498E-2</v>
      </c>
      <c r="Z234">
        <v>232</v>
      </c>
      <c r="AA234" s="8">
        <v>2.3674690852332533E-2</v>
      </c>
      <c r="AC234">
        <v>232</v>
      </c>
      <c r="AD234" s="8">
        <v>6.7275339343508031E-2</v>
      </c>
      <c r="AF234">
        <v>232</v>
      </c>
      <c r="AG234" s="8">
        <v>2.2488386175899367E-2</v>
      </c>
    </row>
    <row r="235" spans="1:33" ht="15" customHeight="1" x14ac:dyDescent="0.35">
      <c r="A235" vm="483">
        <f ca="1"/>
        <v>45629</v>
      </c>
      <c r="B235" s="6" vm="484">
        <f ca="1"/>
        <v>431.2</v>
      </c>
      <c r="C235" s="2">
        <f t="shared" ca="1" si="10"/>
        <v>5.103342800221258E-4</v>
      </c>
      <c r="Z235">
        <v>233</v>
      </c>
      <c r="AA235" s="8">
        <v>4.3451449157810476E-2</v>
      </c>
      <c r="AC235">
        <v>233</v>
      </c>
      <c r="AD235" s="8">
        <v>3.7939089004734507E-2</v>
      </c>
      <c r="AF235">
        <v>233</v>
      </c>
      <c r="AG235" s="8">
        <v>2.3337706574303018E-2</v>
      </c>
    </row>
    <row r="236" spans="1:33" ht="15" customHeight="1" x14ac:dyDescent="0.35">
      <c r="A236" vm="485">
        <f ca="1"/>
        <v>45630</v>
      </c>
      <c r="B236" s="6" vm="486">
        <f ca="1"/>
        <v>437.42</v>
      </c>
      <c r="C236" s="2">
        <f t="shared" ca="1" si="10"/>
        <v>1.432181233961893E-2</v>
      </c>
      <c r="Z236">
        <v>234</v>
      </c>
      <c r="AA236" s="8">
        <v>2.5784774082353051E-2</v>
      </c>
      <c r="AC236">
        <v>234</v>
      </c>
      <c r="AD236" s="8">
        <v>1.8154979932954597E-2</v>
      </c>
      <c r="AF236">
        <v>234</v>
      </c>
      <c r="AG236" s="8">
        <v>2.522280518859539E-2</v>
      </c>
    </row>
    <row r="237" spans="1:33" ht="15" customHeight="1" x14ac:dyDescent="0.35">
      <c r="A237" vm="487">
        <f ca="1"/>
        <v>45631</v>
      </c>
      <c r="B237" s="6" vm="488">
        <f ca="1"/>
        <v>442.62</v>
      </c>
      <c r="C237" s="2">
        <f t="shared" ca="1" si="10"/>
        <v>1.1817782189859459E-2</v>
      </c>
      <c r="Z237">
        <v>235</v>
      </c>
      <c r="AA237" s="8">
        <v>3.9204612637774909E-2</v>
      </c>
      <c r="AC237">
        <v>235</v>
      </c>
      <c r="AD237" s="8">
        <v>1.1693585916502137E-2</v>
      </c>
      <c r="AF237">
        <v>235</v>
      </c>
      <c r="AG237" s="8">
        <v>2.3006868362852463E-2</v>
      </c>
    </row>
    <row r="238" spans="1:33" ht="15" customHeight="1" x14ac:dyDescent="0.35">
      <c r="A238" vm="489">
        <f ca="1"/>
        <v>45632</v>
      </c>
      <c r="B238" s="6" vm="490">
        <f ca="1"/>
        <v>443.57</v>
      </c>
      <c r="C238" s="2">
        <f t="shared" ca="1" si="10"/>
        <v>2.1440105708975103E-3</v>
      </c>
      <c r="Z238">
        <v>236</v>
      </c>
      <c r="AA238" s="8">
        <v>2.5278019787877408E-2</v>
      </c>
      <c r="AC238">
        <v>236</v>
      </c>
      <c r="AD238" s="8">
        <v>2.4870250239397099E-2</v>
      </c>
      <c r="AF238">
        <v>236</v>
      </c>
      <c r="AG238" s="8">
        <v>2.5504076269415411E-2</v>
      </c>
    </row>
    <row r="239" spans="1:33" ht="15" customHeight="1" x14ac:dyDescent="0.35">
      <c r="A239" vm="491">
        <f ca="1"/>
        <v>45635</v>
      </c>
      <c r="B239" s="6" vm="492">
        <f ca="1"/>
        <v>446.02</v>
      </c>
      <c r="C239" s="2">
        <f t="shared" ca="1" si="10"/>
        <v>5.5081693688085664E-3</v>
      </c>
      <c r="Z239">
        <v>237</v>
      </c>
      <c r="AA239" s="8">
        <v>1.1355680915809296E-2</v>
      </c>
      <c r="AC239">
        <v>237</v>
      </c>
      <c r="AD239" s="8">
        <v>6.176339221522404E-2</v>
      </c>
      <c r="AF239">
        <v>237</v>
      </c>
      <c r="AG239" s="8">
        <v>2.3119716068083041E-2</v>
      </c>
    </row>
    <row r="240" spans="1:33" ht="15" customHeight="1" x14ac:dyDescent="0.35">
      <c r="A240" vm="493">
        <f ca="1"/>
        <v>45636</v>
      </c>
      <c r="B240" s="6" vm="494">
        <f ca="1"/>
        <v>443.33</v>
      </c>
      <c r="C240" s="2">
        <f t="shared" ca="1" si="10"/>
        <v>-6.0493803415409345E-3</v>
      </c>
      <c r="Z240">
        <v>238</v>
      </c>
      <c r="AA240" s="8">
        <v>2.4270630050898533E-2</v>
      </c>
      <c r="AC240">
        <v>238</v>
      </c>
      <c r="AD240" s="8">
        <v>2.0929777232907846E-2</v>
      </c>
      <c r="AF240">
        <v>238</v>
      </c>
      <c r="AG240" s="8">
        <v>2.3412546223400266E-2</v>
      </c>
    </row>
    <row r="241" spans="1:33" ht="15" customHeight="1" x14ac:dyDescent="0.35">
      <c r="A241" vm="495">
        <f ca="1"/>
        <v>45637</v>
      </c>
      <c r="B241" s="6" vm="496">
        <f ca="1"/>
        <v>448.99</v>
      </c>
      <c r="C241" s="2">
        <f t="shared" ca="1" si="10"/>
        <v>1.2686202056882959E-2</v>
      </c>
      <c r="Z241">
        <v>239</v>
      </c>
      <c r="AA241" s="8">
        <v>2.4138238594283028E-2</v>
      </c>
      <c r="AC241">
        <v>239</v>
      </c>
      <c r="AD241" s="8">
        <v>1.7585625294927031E-2</v>
      </c>
      <c r="AF241">
        <v>239</v>
      </c>
      <c r="AG241" s="8">
        <v>2.3936647395492453E-2</v>
      </c>
    </row>
    <row r="242" spans="1:33" ht="15" customHeight="1" x14ac:dyDescent="0.35">
      <c r="A242" vm="497">
        <f ca="1"/>
        <v>45638</v>
      </c>
      <c r="B242" s="6" vm="498">
        <f ca="1"/>
        <v>449.56</v>
      </c>
      <c r="C242" s="2">
        <f t="shared" ca="1" si="10"/>
        <v>1.2687108707523317E-3</v>
      </c>
      <c r="Z242">
        <v>240</v>
      </c>
      <c r="AA242" s="8">
        <v>3.3835976889533124E-2</v>
      </c>
      <c r="AC242">
        <v>240</v>
      </c>
      <c r="AD242" s="8">
        <v>3.9071869856202583E-2</v>
      </c>
      <c r="AF242">
        <v>240</v>
      </c>
      <c r="AG242" s="8">
        <v>2.1910793550451498E-2</v>
      </c>
    </row>
    <row r="243" spans="1:33" ht="15" customHeight="1" x14ac:dyDescent="0.35">
      <c r="A243" vm="499">
        <f ca="1"/>
        <v>45639</v>
      </c>
      <c r="B243" s="6" vm="500">
        <f ca="1"/>
        <v>447.27</v>
      </c>
      <c r="C243" s="2">
        <f t="shared" ca="1" si="10"/>
        <v>-5.106887541648961E-3</v>
      </c>
      <c r="Z243">
        <v>241</v>
      </c>
      <c r="AA243" s="8">
        <v>1.8538680341724172E-2</v>
      </c>
      <c r="AC243">
        <v>241</v>
      </c>
      <c r="AD243" s="8">
        <v>4.117521846091949E-2</v>
      </c>
      <c r="AF243">
        <v>241</v>
      </c>
      <c r="AG243" s="8">
        <v>2.2490802459219607E-2</v>
      </c>
    </row>
    <row r="244" spans="1:33" ht="15" customHeight="1" x14ac:dyDescent="0.35">
      <c r="A244" vm="501">
        <f ca="1"/>
        <v>45642</v>
      </c>
      <c r="B244" s="6" vm="502">
        <f ca="1"/>
        <v>451.59</v>
      </c>
      <c r="C244" s="2">
        <f t="shared" ca="1" si="10"/>
        <v>9.6122494321048465E-3</v>
      </c>
      <c r="Z244">
        <v>242</v>
      </c>
      <c r="AA244" s="8">
        <v>1.7748622338150048E-2</v>
      </c>
      <c r="AC244">
        <v>242</v>
      </c>
      <c r="AD244" s="8">
        <v>3.1702516605454707E-2</v>
      </c>
      <c r="AF244">
        <v>242</v>
      </c>
      <c r="AG244" s="8">
        <v>2.104808202305164E-2</v>
      </c>
    </row>
    <row r="245" spans="1:33" ht="15" customHeight="1" x14ac:dyDescent="0.35">
      <c r="A245" vm="503">
        <f ca="1"/>
        <v>45643</v>
      </c>
      <c r="B245" s="6" vm="504">
        <f ca="1"/>
        <v>454.46</v>
      </c>
      <c r="C245" s="2">
        <f t="shared" ca="1" si="10"/>
        <v>6.3352124031293821E-3</v>
      </c>
      <c r="Z245">
        <v>243</v>
      </c>
      <c r="AA245" s="8">
        <v>7.3182947195522499E-2</v>
      </c>
      <c r="AC245">
        <v>243</v>
      </c>
      <c r="AD245" s="8">
        <v>3.0251450952832347E-2</v>
      </c>
      <c r="AF245">
        <v>243</v>
      </c>
      <c r="AG245" s="8">
        <v>2.3494674361917271E-2</v>
      </c>
    </row>
    <row r="246" spans="1:33" ht="15" customHeight="1" x14ac:dyDescent="0.35">
      <c r="A246" vm="505">
        <f ca="1"/>
        <v>45644</v>
      </c>
      <c r="B246" s="6" vm="506">
        <f ca="1"/>
        <v>437.39</v>
      </c>
      <c r="C246" s="2">
        <f t="shared" ca="1" si="10"/>
        <v>-3.8284655330873545E-2</v>
      </c>
      <c r="Z246">
        <v>244</v>
      </c>
      <c r="AA246" s="8">
        <v>2.6517679467901633E-2</v>
      </c>
      <c r="AC246">
        <v>244</v>
      </c>
      <c r="AD246" s="8">
        <v>2.9736007264653953E-2</v>
      </c>
      <c r="AF246">
        <v>244</v>
      </c>
      <c r="AG246" s="8">
        <v>2.3409387216754684E-2</v>
      </c>
    </row>
    <row r="247" spans="1:33" ht="15" customHeight="1" x14ac:dyDescent="0.35">
      <c r="A247" vm="507">
        <f ca="1"/>
        <v>45645</v>
      </c>
      <c r="B247" s="6" vm="508">
        <f ca="1"/>
        <v>437.03</v>
      </c>
      <c r="C247" s="2">
        <f t="shared" ca="1" si="10"/>
        <v>-8.2340298790001861E-4</v>
      </c>
      <c r="Z247">
        <v>245</v>
      </c>
      <c r="AA247" s="8">
        <v>1.1474856279499101E-2</v>
      </c>
      <c r="AC247">
        <v>245</v>
      </c>
      <c r="AD247" s="8">
        <v>3.4890204926031773E-2</v>
      </c>
      <c r="AF247">
        <v>245</v>
      </c>
      <c r="AG247" s="8">
        <v>2.3173498536768655E-2</v>
      </c>
    </row>
    <row r="248" spans="1:33" ht="15" customHeight="1" x14ac:dyDescent="0.35">
      <c r="A248" vm="509">
        <f ca="1"/>
        <v>45646</v>
      </c>
      <c r="B248" s="6" vm="510">
        <f ca="1"/>
        <v>436.6</v>
      </c>
      <c r="C248" s="2">
        <f t="shared" ca="1" si="10"/>
        <v>-9.8439850903452616E-4</v>
      </c>
      <c r="Z248">
        <v>246</v>
      </c>
      <c r="AA248" s="8">
        <v>5.1150299075332993E-2</v>
      </c>
      <c r="AC248">
        <v>246</v>
      </c>
      <c r="AD248" s="8">
        <v>5.9177511253344181E-2</v>
      </c>
      <c r="AF248">
        <v>246</v>
      </c>
      <c r="AG248" s="8">
        <v>2.3932280981158426E-2</v>
      </c>
    </row>
    <row r="249" spans="1:33" ht="15" customHeight="1" x14ac:dyDescent="0.35">
      <c r="A249" vm="511">
        <f ca="1"/>
        <v>45649</v>
      </c>
      <c r="B249" s="6" vm="512">
        <f ca="1"/>
        <v>435.25</v>
      </c>
      <c r="C249" s="2">
        <f t="shared" ca="1" si="10"/>
        <v>-3.0968654675452034E-3</v>
      </c>
      <c r="Z249">
        <v>247</v>
      </c>
      <c r="AA249" s="8">
        <v>8.2608517120262001E-2</v>
      </c>
      <c r="AC249">
        <v>247</v>
      </c>
      <c r="AD249" s="8">
        <v>2.4549952798192241E-2</v>
      </c>
      <c r="AF249">
        <v>247</v>
      </c>
      <c r="AG249" s="8">
        <v>2.2942099036347117E-2</v>
      </c>
    </row>
    <row r="250" spans="1:33" ht="15" customHeight="1" x14ac:dyDescent="0.35">
      <c r="A250" vm="513">
        <f ca="1"/>
        <v>45650</v>
      </c>
      <c r="B250" s="6" vm="514">
        <f ca="1"/>
        <v>439.33</v>
      </c>
      <c r="C250" s="2">
        <f t="shared" ca="1" si="10"/>
        <v>9.3302604638468636E-3</v>
      </c>
      <c r="Z250">
        <v>248</v>
      </c>
      <c r="AA250" s="8">
        <v>1.3554671894371585E-2</v>
      </c>
      <c r="AC250">
        <v>248</v>
      </c>
      <c r="AD250" s="8">
        <v>1.8461200633526645E-2</v>
      </c>
      <c r="AF250">
        <v>248</v>
      </c>
      <c r="AG250" s="8">
        <v>2.4004898783915107E-2</v>
      </c>
    </row>
    <row r="251" spans="1:33" ht="15" customHeight="1" x14ac:dyDescent="0.35">
      <c r="A251" vm="515">
        <f ca="1"/>
        <v>45652</v>
      </c>
      <c r="B251" s="6" vm="516">
        <f ca="1"/>
        <v>438.11</v>
      </c>
      <c r="C251" s="2">
        <f t="shared" ca="1" si="10"/>
        <v>-2.780818713948305E-3</v>
      </c>
      <c r="Z251">
        <v>249</v>
      </c>
      <c r="AA251" s="8">
        <v>2.0711996643411296E-2</v>
      </c>
      <c r="AC251">
        <v>249</v>
      </c>
      <c r="AD251" s="8">
        <v>7.2335502038905194E-2</v>
      </c>
      <c r="AF251">
        <v>249</v>
      </c>
      <c r="AG251" s="8">
        <v>2.3192848513966677E-2</v>
      </c>
    </row>
    <row r="252" spans="1:33" ht="15" customHeight="1" x14ac:dyDescent="0.35">
      <c r="A252" vm="517">
        <f ca="1"/>
        <v>45653</v>
      </c>
      <c r="B252" s="6" vm="518">
        <f ca="1"/>
        <v>430.53</v>
      </c>
      <c r="C252" s="2">
        <f t="shared" ca="1" si="10"/>
        <v>-1.7453012547246734E-2</v>
      </c>
      <c r="Z252">
        <v>250</v>
      </c>
      <c r="AA252" s="8">
        <v>2.1511073947909621E-2</v>
      </c>
      <c r="AC252">
        <v>250</v>
      </c>
      <c r="AD252" s="8">
        <v>4.9603980353866213E-2</v>
      </c>
      <c r="AF252">
        <v>250</v>
      </c>
      <c r="AG252" s="8">
        <v>2.328159269362776E-2</v>
      </c>
    </row>
    <row r="253" spans="1:33" ht="15" customHeight="1" x14ac:dyDescent="0.35">
      <c r="A253" vm="519">
        <f ca="1"/>
        <v>45656</v>
      </c>
      <c r="B253" s="6" vm="520">
        <f ca="1"/>
        <v>424.83</v>
      </c>
      <c r="C253" s="2">
        <f t="shared" ca="1" si="10"/>
        <v>-1.3327918947873099E-2</v>
      </c>
      <c r="Z253">
        <v>251</v>
      </c>
      <c r="AA253" s="8">
        <v>1.1109546976386676E-2</v>
      </c>
      <c r="AC253">
        <v>251</v>
      </c>
      <c r="AD253" s="8">
        <v>4.1964152588985774E-2</v>
      </c>
      <c r="AF253">
        <v>251</v>
      </c>
      <c r="AG253" s="8">
        <v>2.420712063772653E-2</v>
      </c>
    </row>
    <row r="254" spans="1:33" ht="15" customHeight="1" x14ac:dyDescent="0.35">
      <c r="A254" vm="521">
        <f ca="1"/>
        <v>45657</v>
      </c>
      <c r="B254" s="6" vm="522">
        <f ca="1"/>
        <v>421.5</v>
      </c>
      <c r="C254" s="2">
        <f t="shared" ca="1" si="10"/>
        <v>-7.8693114611669106E-3</v>
      </c>
      <c r="Z254">
        <v>252</v>
      </c>
      <c r="AA254" s="8">
        <v>8.3794614359503708E-2</v>
      </c>
      <c r="AC254">
        <v>252</v>
      </c>
      <c r="AD254" s="8">
        <v>2.7077921447350703E-2</v>
      </c>
      <c r="AF254">
        <v>252</v>
      </c>
      <c r="AG254" s="8">
        <v>2.3623775103977354E-2</v>
      </c>
    </row>
    <row r="255" spans="1:33" ht="15" customHeight="1" x14ac:dyDescent="0.35">
      <c r="A255" vm="523">
        <f ca="1"/>
        <v>45659</v>
      </c>
      <c r="B255" s="6" vm="524">
        <f ca="1"/>
        <v>418.58</v>
      </c>
      <c r="C255" s="2">
        <f t="shared" ca="1" si="10"/>
        <v>-6.9517468800784493E-3</v>
      </c>
      <c r="Z255">
        <v>253</v>
      </c>
      <c r="AA255" s="8">
        <v>2.1731479062163505E-2</v>
      </c>
      <c r="AC255">
        <v>253</v>
      </c>
      <c r="AD255" s="8">
        <v>2.7259966533217939E-2</v>
      </c>
      <c r="AF255">
        <v>253</v>
      </c>
      <c r="AG255" s="8">
        <v>2.3403336595964552E-2</v>
      </c>
    </row>
    <row r="256" spans="1:33" ht="15" customHeight="1" x14ac:dyDescent="0.35">
      <c r="A256" vm="525">
        <f ca="1"/>
        <v>45660</v>
      </c>
      <c r="B256" s="6" vm="526">
        <f ca="1"/>
        <v>423.35</v>
      </c>
      <c r="C256" s="2">
        <f t="shared" ca="1" si="10"/>
        <v>1.1331229526454522E-2</v>
      </c>
      <c r="Z256">
        <v>254</v>
      </c>
      <c r="AA256" s="8">
        <v>4.424783863012715E-2</v>
      </c>
      <c r="AC256">
        <v>254</v>
      </c>
      <c r="AD256" s="8">
        <v>3.4289725641601904E-2</v>
      </c>
      <c r="AF256">
        <v>254</v>
      </c>
      <c r="AG256" s="8">
        <v>2.1900992257692167E-2</v>
      </c>
    </row>
    <row r="257" spans="1:33" ht="15" customHeight="1" x14ac:dyDescent="0.35">
      <c r="A257" vm="527">
        <f ca="1"/>
        <v>45663</v>
      </c>
      <c r="B257" s="6" vm="528">
        <f ca="1"/>
        <v>427.85</v>
      </c>
      <c r="C257" s="2">
        <f t="shared" ca="1" si="10"/>
        <v>1.057340677577758E-2</v>
      </c>
      <c r="Z257">
        <v>255</v>
      </c>
      <c r="AA257" s="8">
        <v>5.787806674479281E-2</v>
      </c>
      <c r="AC257">
        <v>255</v>
      </c>
      <c r="AD257" s="8">
        <v>4.9034965761453053E-2</v>
      </c>
      <c r="AF257">
        <v>255</v>
      </c>
      <c r="AG257" s="8">
        <v>2.2533614457628578E-2</v>
      </c>
    </row>
    <row r="258" spans="1:33" ht="15" customHeight="1" x14ac:dyDescent="0.35">
      <c r="A258" vm="529">
        <f ca="1"/>
        <v>45664</v>
      </c>
      <c r="B258" s="6" vm="530">
        <f ca="1"/>
        <v>422.37</v>
      </c>
      <c r="C258" s="2">
        <f t="shared" ca="1" si="10"/>
        <v>-1.2890959721518212E-2</v>
      </c>
      <c r="Z258">
        <v>256</v>
      </c>
      <c r="AA258" s="8">
        <v>2.0871150406001349E-2</v>
      </c>
      <c r="AC258">
        <v>256</v>
      </c>
      <c r="AD258" s="8">
        <v>2.1403239087512418E-2</v>
      </c>
      <c r="AF258">
        <v>256</v>
      </c>
      <c r="AG258" s="8">
        <v>2.3541298156736692E-2</v>
      </c>
    </row>
    <row r="259" spans="1:33" ht="15" customHeight="1" x14ac:dyDescent="0.35">
      <c r="A259" vm="531">
        <f ca="1"/>
        <v>45665</v>
      </c>
      <c r="B259" s="6" vm="532">
        <f ca="1"/>
        <v>424.56</v>
      </c>
      <c r="C259" s="2">
        <f t="shared" ca="1" si="10"/>
        <v>5.1716313770938417E-3</v>
      </c>
      <c r="Z259">
        <v>257</v>
      </c>
      <c r="AA259" s="8">
        <v>5.2780409940110816E-2</v>
      </c>
      <c r="AC259">
        <v>257</v>
      </c>
      <c r="AD259" s="8">
        <v>3.2600709734805396E-2</v>
      </c>
      <c r="AF259">
        <v>257</v>
      </c>
      <c r="AG259" s="8">
        <v>2.1623764406824529E-2</v>
      </c>
    </row>
    <row r="260" spans="1:33" ht="15" customHeight="1" x14ac:dyDescent="0.35">
      <c r="A260" vm="533">
        <f ca="1"/>
        <v>45667</v>
      </c>
      <c r="B260" s="6" vm="534">
        <f ca="1"/>
        <v>418.95</v>
      </c>
      <c r="C260" s="2">
        <f t="shared" ca="1" si="10"/>
        <v>-1.3301757460344052E-2</v>
      </c>
      <c r="Z260">
        <v>258</v>
      </c>
      <c r="AA260" s="8">
        <v>6.1198395510016247E-2</v>
      </c>
      <c r="AC260">
        <v>258</v>
      </c>
      <c r="AD260" s="8">
        <v>3.1077210193436421E-2</v>
      </c>
      <c r="AF260">
        <v>258</v>
      </c>
      <c r="AG260" s="8">
        <v>2.4278791700596734E-2</v>
      </c>
    </row>
    <row r="261" spans="1:33" ht="15" customHeight="1" x14ac:dyDescent="0.35">
      <c r="A261" vm="535">
        <f ca="1"/>
        <v>45670</v>
      </c>
      <c r="B261" s="6" vm="536">
        <f ca="1"/>
        <v>417.19</v>
      </c>
      <c r="C261" s="2">
        <f t="shared" ca="1" si="10"/>
        <v>-4.209827539218081E-3</v>
      </c>
      <c r="Z261">
        <v>259</v>
      </c>
      <c r="AA261" s="8">
        <v>3.1469095419133987E-2</v>
      </c>
      <c r="AC261">
        <v>259</v>
      </c>
      <c r="AD261" s="8">
        <v>2.0264096416544378E-2</v>
      </c>
      <c r="AF261">
        <v>259</v>
      </c>
      <c r="AG261" s="8">
        <v>2.347719227469991E-2</v>
      </c>
    </row>
    <row r="262" spans="1:33" ht="15" customHeight="1" x14ac:dyDescent="0.35">
      <c r="A262" vm="537">
        <f ca="1"/>
        <v>45671</v>
      </c>
      <c r="B262" s="6" vm="538">
        <f ca="1"/>
        <v>415.67</v>
      </c>
      <c r="C262" s="2">
        <f t="shared" ref="C262:C325" ca="1" si="11">IFERROR(LN(B262/B261),C261)</f>
        <v>-3.6500772941136213E-3</v>
      </c>
      <c r="Z262">
        <v>260</v>
      </c>
      <c r="AA262" s="8">
        <v>1.7429729076972912E-2</v>
      </c>
      <c r="AC262">
        <v>260</v>
      </c>
      <c r="AD262" s="8">
        <v>2.8641446291716721E-2</v>
      </c>
      <c r="AF262">
        <v>260</v>
      </c>
      <c r="AG262" s="8">
        <v>2.2795049219194195E-2</v>
      </c>
    </row>
    <row r="263" spans="1:33" ht="15" customHeight="1" x14ac:dyDescent="0.35">
      <c r="A263" vm="539">
        <f ca="1"/>
        <v>45672</v>
      </c>
      <c r="B263" s="6" vm="540">
        <f ca="1"/>
        <v>426.31</v>
      </c>
      <c r="C263" s="2">
        <f t="shared" ca="1" si="11"/>
        <v>2.5275104928999953E-2</v>
      </c>
      <c r="Z263">
        <v>261</v>
      </c>
      <c r="AA263" s="8">
        <v>5.5268593859098415E-2</v>
      </c>
      <c r="AC263">
        <v>261</v>
      </c>
      <c r="AD263" s="8">
        <v>4.2117575740063452E-2</v>
      </c>
      <c r="AF263">
        <v>261</v>
      </c>
      <c r="AG263" s="8">
        <v>2.4123012885340741E-2</v>
      </c>
    </row>
    <row r="264" spans="1:33" ht="15" customHeight="1" x14ac:dyDescent="0.35">
      <c r="A264" vm="541">
        <f ca="1"/>
        <v>45673</v>
      </c>
      <c r="B264" s="6" vm="542">
        <f ca="1"/>
        <v>424.58</v>
      </c>
      <c r="C264" s="2">
        <f t="shared" ca="1" si="11"/>
        <v>-4.066336151107945E-3</v>
      </c>
      <c r="Z264">
        <v>262</v>
      </c>
      <c r="AA264" s="8">
        <v>6.0336393644866225E-2</v>
      </c>
      <c r="AC264">
        <v>262</v>
      </c>
      <c r="AD264" s="8">
        <v>2.9869396766177513E-2</v>
      </c>
      <c r="AF264">
        <v>262</v>
      </c>
      <c r="AG264" s="8">
        <v>2.2932579082723701E-2</v>
      </c>
    </row>
    <row r="265" spans="1:33" ht="15" customHeight="1" x14ac:dyDescent="0.35">
      <c r="A265" vm="543">
        <f ca="1"/>
        <v>45674</v>
      </c>
      <c r="B265" s="6" vm="544">
        <f ca="1"/>
        <v>429.03</v>
      </c>
      <c r="C265" s="2">
        <f t="shared" ca="1" si="11"/>
        <v>1.0426401549097972E-2</v>
      </c>
      <c r="Z265">
        <v>263</v>
      </c>
      <c r="AA265" s="8">
        <v>4.6073260710195151E-2</v>
      </c>
      <c r="AC265">
        <v>263</v>
      </c>
      <c r="AD265" s="8">
        <v>2.5410657115447363E-2</v>
      </c>
      <c r="AF265">
        <v>263</v>
      </c>
      <c r="AG265" s="8">
        <v>2.2406950893932794E-2</v>
      </c>
    </row>
    <row r="266" spans="1:33" ht="15" customHeight="1" x14ac:dyDescent="0.35">
      <c r="A266" vm="545">
        <f ca="1"/>
        <v>45678</v>
      </c>
      <c r="B266" s="6" vm="546">
        <f ca="1"/>
        <v>428.5</v>
      </c>
      <c r="C266" s="2">
        <f t="shared" ca="1" si="11"/>
        <v>-1.236108515119177E-3</v>
      </c>
      <c r="Z266">
        <v>264</v>
      </c>
      <c r="AA266" s="8">
        <v>3.3737035406843127E-2</v>
      </c>
      <c r="AC266">
        <v>264</v>
      </c>
      <c r="AD266" s="8">
        <v>2.9888705306141624E-2</v>
      </c>
      <c r="AF266">
        <v>264</v>
      </c>
      <c r="AG266" s="8">
        <v>2.0741048907214968E-2</v>
      </c>
    </row>
    <row r="267" spans="1:33" ht="15" customHeight="1" x14ac:dyDescent="0.35">
      <c r="A267" vm="547">
        <f ca="1"/>
        <v>45679</v>
      </c>
      <c r="B267" s="6" vm="548">
        <f ca="1"/>
        <v>446.2</v>
      </c>
      <c r="C267" s="2">
        <f t="shared" ca="1" si="11"/>
        <v>4.0476543960597577E-2</v>
      </c>
      <c r="Z267">
        <v>265</v>
      </c>
      <c r="AA267" s="8">
        <v>8.5445359694912099E-2</v>
      </c>
      <c r="AC267">
        <v>265</v>
      </c>
      <c r="AD267" s="8">
        <v>2.4510068097486494E-2</v>
      </c>
      <c r="AF267">
        <v>265</v>
      </c>
      <c r="AG267" s="8">
        <v>2.3131042671846059E-2</v>
      </c>
    </row>
    <row r="268" spans="1:33" ht="15" customHeight="1" x14ac:dyDescent="0.35">
      <c r="A268" vm="549">
        <f ca="1"/>
        <v>45680</v>
      </c>
      <c r="B268" s="6" vm="550">
        <f ca="1"/>
        <v>446.71</v>
      </c>
      <c r="C268" s="2">
        <f t="shared" ca="1" si="11"/>
        <v>1.142332498144708E-3</v>
      </c>
      <c r="Z268">
        <v>266</v>
      </c>
      <c r="AA268" s="8">
        <v>4.753914879363523E-2</v>
      </c>
      <c r="AC268">
        <v>266</v>
      </c>
      <c r="AD268" s="8">
        <v>2.4734086375067462E-2</v>
      </c>
      <c r="AF268">
        <v>266</v>
      </c>
      <c r="AG268" s="8">
        <v>2.3222037592222331E-2</v>
      </c>
    </row>
    <row r="269" spans="1:33" ht="15" customHeight="1" x14ac:dyDescent="0.35">
      <c r="A269" vm="551">
        <f ca="1"/>
        <v>45681</v>
      </c>
      <c r="B269" s="6" vm="552">
        <f ca="1"/>
        <v>444.06</v>
      </c>
      <c r="C269" s="2">
        <f t="shared" ca="1" si="11"/>
        <v>-5.9499260591469177E-3</v>
      </c>
      <c r="Z269">
        <v>267</v>
      </c>
      <c r="AA269" s="8">
        <v>2.6307792013649405E-2</v>
      </c>
      <c r="AC269">
        <v>267</v>
      </c>
      <c r="AD269" s="8">
        <v>1.681529988187733E-2</v>
      </c>
      <c r="AF269">
        <v>267</v>
      </c>
      <c r="AG269" s="8">
        <v>2.3611630332416388E-2</v>
      </c>
    </row>
    <row r="270" spans="1:33" ht="15" customHeight="1" x14ac:dyDescent="0.35">
      <c r="A270" vm="553">
        <f ca="1"/>
        <v>45684</v>
      </c>
      <c r="B270" s="6" vm="554">
        <f ca="1"/>
        <v>434.56</v>
      </c>
      <c r="C270" s="2">
        <f t="shared" ca="1" si="11"/>
        <v>-2.1625663507153406E-2</v>
      </c>
      <c r="Z270">
        <v>268</v>
      </c>
      <c r="AA270" s="8">
        <v>4.9155517531836571E-2</v>
      </c>
      <c r="AC270">
        <v>268</v>
      </c>
      <c r="AD270" s="8">
        <v>4.9623081459525674E-2</v>
      </c>
      <c r="AF270">
        <v>268</v>
      </c>
      <c r="AG270" s="8">
        <v>2.3411944644556669E-2</v>
      </c>
    </row>
    <row r="271" spans="1:33" ht="15" customHeight="1" x14ac:dyDescent="0.35">
      <c r="A271" vm="555">
        <f ca="1"/>
        <v>45685</v>
      </c>
      <c r="B271" s="6" vm="556">
        <f ca="1"/>
        <v>447.2</v>
      </c>
      <c r="C271" s="2">
        <f t="shared" ca="1" si="11"/>
        <v>2.8671896910612688E-2</v>
      </c>
      <c r="Z271">
        <v>269</v>
      </c>
      <c r="AA271" s="8">
        <v>6.0512353958840116E-2</v>
      </c>
      <c r="AC271">
        <v>269</v>
      </c>
      <c r="AD271" s="8">
        <v>4.999053255466368E-2</v>
      </c>
      <c r="AF271">
        <v>269</v>
      </c>
      <c r="AG271" s="8">
        <v>2.3116758189718468E-2</v>
      </c>
    </row>
    <row r="272" spans="1:33" ht="15" customHeight="1" x14ac:dyDescent="0.35">
      <c r="A272" vm="557">
        <f ca="1"/>
        <v>45686</v>
      </c>
      <c r="B272" s="6" vm="558">
        <f ca="1"/>
        <v>442.33</v>
      </c>
      <c r="C272" s="2">
        <f t="shared" ca="1" si="11"/>
        <v>-1.0949712000212162E-2</v>
      </c>
      <c r="Z272">
        <v>270</v>
      </c>
      <c r="AA272" s="8">
        <v>5.3626095572246582E-2</v>
      </c>
      <c r="AC272">
        <v>270</v>
      </c>
      <c r="AD272" s="8">
        <v>4.8211369864842119E-2</v>
      </c>
      <c r="AF272">
        <v>270</v>
      </c>
      <c r="AG272" s="8">
        <v>2.9593785483692483E-2</v>
      </c>
    </row>
    <row r="273" spans="1:33" ht="15" customHeight="1" x14ac:dyDescent="0.35">
      <c r="A273" vm="559">
        <f ca="1"/>
        <v>45687</v>
      </c>
      <c r="B273" s="6" vm="560">
        <f ca="1"/>
        <v>414.99</v>
      </c>
      <c r="C273" s="2">
        <f t="shared" ca="1" si="11"/>
        <v>-6.3801786285843556E-2</v>
      </c>
      <c r="Z273">
        <v>271</v>
      </c>
      <c r="AA273" s="8">
        <v>4.0744940325346236E-2</v>
      </c>
      <c r="AC273">
        <v>271</v>
      </c>
      <c r="AD273" s="8">
        <v>6.5923957878756947E-2</v>
      </c>
      <c r="AF273">
        <v>271</v>
      </c>
      <c r="AG273" s="8">
        <v>2.343993840492092E-2</v>
      </c>
    </row>
    <row r="274" spans="1:33" ht="15" customHeight="1" x14ac:dyDescent="0.35">
      <c r="A274" vm="561">
        <f ca="1"/>
        <v>45688</v>
      </c>
      <c r="B274" s="6" vm="562">
        <f ca="1"/>
        <v>415.06</v>
      </c>
      <c r="C274" s="2">
        <f t="shared" ca="1" si="11"/>
        <v>1.6866453868067421E-4</v>
      </c>
      <c r="Z274">
        <v>272</v>
      </c>
      <c r="AA274" s="8">
        <v>2.6517277381657413E-2</v>
      </c>
      <c r="AC274">
        <v>272</v>
      </c>
      <c r="AD274" s="8">
        <v>3.7633724619924203E-2</v>
      </c>
      <c r="AF274">
        <v>272</v>
      </c>
      <c r="AG274" s="8">
        <v>2.3483421596310651E-2</v>
      </c>
    </row>
    <row r="275" spans="1:33" ht="15" customHeight="1" x14ac:dyDescent="0.35">
      <c r="A275" vm="563">
        <f ca="1"/>
        <v>45691</v>
      </c>
      <c r="B275" s="6" vm="564">
        <f ca="1"/>
        <v>410.92</v>
      </c>
      <c r="C275" s="2">
        <f t="shared" ca="1" si="11"/>
        <v>-1.0024539745451297E-2</v>
      </c>
      <c r="Z275">
        <v>273</v>
      </c>
      <c r="AA275" s="8">
        <v>2.1865683758943082E-2</v>
      </c>
      <c r="AC275">
        <v>273</v>
      </c>
      <c r="AD275" s="8">
        <v>6.2446678922281534E-2</v>
      </c>
      <c r="AF275">
        <v>273</v>
      </c>
      <c r="AG275" s="8">
        <v>2.296758521579708E-2</v>
      </c>
    </row>
    <row r="276" spans="1:33" ht="15" customHeight="1" x14ac:dyDescent="0.35">
      <c r="A276" vm="565">
        <f ca="1"/>
        <v>45692</v>
      </c>
      <c r="B276" s="6" vm="566">
        <f ca="1"/>
        <v>412.37</v>
      </c>
      <c r="C276" s="2">
        <f t="shared" ca="1" si="11"/>
        <v>3.5224562408462663E-3</v>
      </c>
      <c r="Z276">
        <v>274</v>
      </c>
      <c r="AA276" s="8">
        <v>1.8887257600182932E-2</v>
      </c>
      <c r="AC276">
        <v>274</v>
      </c>
      <c r="AD276" s="8">
        <v>6.5443608488242391E-2</v>
      </c>
      <c r="AF276">
        <v>274</v>
      </c>
      <c r="AG276" s="8">
        <v>2.0820116570576693E-2</v>
      </c>
    </row>
    <row r="277" spans="1:33" ht="15" customHeight="1" x14ac:dyDescent="0.35">
      <c r="A277" vm="567">
        <f ca="1"/>
        <v>45693</v>
      </c>
      <c r="B277" s="6" vm="568">
        <f ca="1"/>
        <v>413.29</v>
      </c>
      <c r="C277" s="2">
        <f t="shared" ca="1" si="11"/>
        <v>2.2285211364244705E-3</v>
      </c>
      <c r="Z277">
        <v>275</v>
      </c>
      <c r="AA277" s="8">
        <v>2.2941988775602072E-2</v>
      </c>
      <c r="AC277">
        <v>275</v>
      </c>
      <c r="AD277" s="8">
        <v>3.1370833662799143E-2</v>
      </c>
      <c r="AF277">
        <v>275</v>
      </c>
      <c r="AG277" s="8">
        <v>2.3680960346662529E-2</v>
      </c>
    </row>
    <row r="278" spans="1:33" ht="15" customHeight="1" x14ac:dyDescent="0.35">
      <c r="A278" vm="569">
        <f ca="1"/>
        <v>45694</v>
      </c>
      <c r="B278" s="6" vm="570">
        <f ca="1"/>
        <v>415.82</v>
      </c>
      <c r="C278" s="2">
        <f t="shared" ca="1" si="11"/>
        <v>6.1029485899084931E-3</v>
      </c>
      <c r="Z278">
        <v>276</v>
      </c>
      <c r="AA278" s="8">
        <v>3.2824023401682098E-2</v>
      </c>
      <c r="AC278">
        <v>276</v>
      </c>
      <c r="AD278" s="8">
        <v>3.6412970474668412E-2</v>
      </c>
      <c r="AF278">
        <v>276</v>
      </c>
      <c r="AG278" s="8">
        <v>2.2637242257490944E-2</v>
      </c>
    </row>
    <row r="279" spans="1:33" ht="15" customHeight="1" x14ac:dyDescent="0.35">
      <c r="A279" vm="571">
        <f ca="1"/>
        <v>45695</v>
      </c>
      <c r="B279" s="6" vm="572">
        <f ca="1"/>
        <v>409.75</v>
      </c>
      <c r="C279" s="2">
        <f t="shared" ca="1" si="11"/>
        <v>-1.4705256691303348E-2</v>
      </c>
      <c r="Z279">
        <v>277</v>
      </c>
      <c r="AA279" s="8">
        <v>3.0356177488179748E-2</v>
      </c>
      <c r="AC279">
        <v>277</v>
      </c>
      <c r="AD279" s="8">
        <v>2.307111874654386E-2</v>
      </c>
      <c r="AF279">
        <v>277</v>
      </c>
      <c r="AG279" s="8">
        <v>2.2360020353854284E-2</v>
      </c>
    </row>
    <row r="280" spans="1:33" ht="15" customHeight="1" x14ac:dyDescent="0.35">
      <c r="A280" vm="573">
        <f ca="1"/>
        <v>45698</v>
      </c>
      <c r="B280" s="6" vm="574">
        <f ca="1"/>
        <v>412.22</v>
      </c>
      <c r="C280" s="2">
        <f t="shared" ca="1" si="11"/>
        <v>6.0099697912124102E-3</v>
      </c>
      <c r="Z280">
        <v>278</v>
      </c>
      <c r="AA280" s="8">
        <v>7.1867488675383173E-2</v>
      </c>
      <c r="AC280">
        <v>278</v>
      </c>
      <c r="AD280" s="8">
        <v>5.5668759499210442E-2</v>
      </c>
      <c r="AF280">
        <v>278</v>
      </c>
      <c r="AG280" s="8">
        <v>2.2954006361404433E-2</v>
      </c>
    </row>
    <row r="281" spans="1:33" ht="15" customHeight="1" x14ac:dyDescent="0.35">
      <c r="A281" vm="575">
        <f ca="1"/>
        <v>45699</v>
      </c>
      <c r="B281" s="6" vm="576">
        <f ca="1"/>
        <v>411.44</v>
      </c>
      <c r="C281" s="2">
        <f t="shared" ca="1" si="11"/>
        <v>-1.8939859484906557E-3</v>
      </c>
      <c r="Z281">
        <v>279</v>
      </c>
      <c r="AA281" s="8">
        <v>4.2121514753816439E-2</v>
      </c>
      <c r="AC281">
        <v>279</v>
      </c>
      <c r="AD281" s="8">
        <v>3.6168620410292944E-2</v>
      </c>
      <c r="AF281">
        <v>279</v>
      </c>
      <c r="AG281" s="8">
        <v>2.1450569328001233E-2</v>
      </c>
    </row>
    <row r="282" spans="1:33" ht="15" customHeight="1" x14ac:dyDescent="0.35">
      <c r="A282" vm="577">
        <f ca="1"/>
        <v>45700</v>
      </c>
      <c r="B282" s="6" vm="578">
        <f ca="1"/>
        <v>409.04</v>
      </c>
      <c r="C282" s="2">
        <f t="shared" ca="1" si="11"/>
        <v>-5.8502506949169517E-3</v>
      </c>
      <c r="Z282">
        <v>280</v>
      </c>
      <c r="AA282" s="8">
        <v>1.959087890658082E-2</v>
      </c>
      <c r="AC282">
        <v>280</v>
      </c>
      <c r="AD282" s="8">
        <v>3.4298631326001174E-2</v>
      </c>
      <c r="AF282">
        <v>280</v>
      </c>
      <c r="AG282" s="8">
        <v>2.2997869281231407E-2</v>
      </c>
    </row>
    <row r="283" spans="1:33" ht="15" customHeight="1" x14ac:dyDescent="0.35">
      <c r="A283" vm="579">
        <f ca="1"/>
        <v>45701</v>
      </c>
      <c r="B283" s="6" vm="198">
        <f ca="1"/>
        <v>410.54</v>
      </c>
      <c r="C283" s="2">
        <f t="shared" ca="1" si="11"/>
        <v>3.6604155172889801E-3</v>
      </c>
      <c r="Z283">
        <v>281</v>
      </c>
      <c r="AA283" s="8">
        <v>7.2082992218086589E-2</v>
      </c>
      <c r="AC283">
        <v>281</v>
      </c>
      <c r="AD283" s="8">
        <v>3.8281455305366065E-2</v>
      </c>
      <c r="AF283">
        <v>281</v>
      </c>
      <c r="AG283" s="8">
        <v>2.3361588089586247E-2</v>
      </c>
    </row>
    <row r="284" spans="1:33" ht="15" customHeight="1" x14ac:dyDescent="0.35">
      <c r="A284" vm="580">
        <f ca="1"/>
        <v>45702</v>
      </c>
      <c r="B284" s="6" vm="581">
        <f ca="1"/>
        <v>408.43</v>
      </c>
      <c r="C284" s="2">
        <f t="shared" ca="1" si="11"/>
        <v>-5.15282530167358E-3</v>
      </c>
      <c r="Z284">
        <v>282</v>
      </c>
      <c r="AA284" s="8">
        <v>6.9138925568479961E-2</v>
      </c>
      <c r="AC284">
        <v>282</v>
      </c>
      <c r="AD284" s="8">
        <v>2.1150940395926517E-2</v>
      </c>
      <c r="AF284">
        <v>282</v>
      </c>
      <c r="AG284" s="8">
        <v>2.3463956085353441E-2</v>
      </c>
    </row>
    <row r="285" spans="1:33" ht="15" customHeight="1" x14ac:dyDescent="0.35">
      <c r="A285" vm="582">
        <f ca="1"/>
        <v>45706</v>
      </c>
      <c r="B285" s="6" vm="583">
        <f ca="1"/>
        <v>409.64</v>
      </c>
      <c r="C285" s="2">
        <f t="shared" ca="1" si="11"/>
        <v>2.9581842198776473E-3</v>
      </c>
      <c r="Z285">
        <v>283</v>
      </c>
      <c r="AA285" s="8">
        <v>2.2019330790602254E-2</v>
      </c>
      <c r="AC285">
        <v>283</v>
      </c>
      <c r="AD285" s="8">
        <v>6.7107793676594904E-2</v>
      </c>
      <c r="AF285">
        <v>283</v>
      </c>
      <c r="AG285" s="8">
        <v>2.3067510137682358E-2</v>
      </c>
    </row>
    <row r="286" spans="1:33" ht="15" customHeight="1" x14ac:dyDescent="0.35">
      <c r="A286" vm="584">
        <f ca="1"/>
        <v>45707</v>
      </c>
      <c r="B286" s="6" vm="585">
        <f ca="1"/>
        <v>414.77</v>
      </c>
      <c r="C286" s="2">
        <f t="shared" ca="1" si="11"/>
        <v>1.24454245210562E-2</v>
      </c>
      <c r="Z286">
        <v>284</v>
      </c>
      <c r="AA286" s="8">
        <v>4.6958455076988523E-2</v>
      </c>
      <c r="AC286">
        <v>284</v>
      </c>
      <c r="AD286" s="8">
        <v>2.4381010815184779E-2</v>
      </c>
      <c r="AF286">
        <v>284</v>
      </c>
      <c r="AG286" s="8">
        <v>2.3163052653099057E-2</v>
      </c>
    </row>
    <row r="287" spans="1:33" ht="15" customHeight="1" x14ac:dyDescent="0.35">
      <c r="A287" vm="586">
        <f ca="1"/>
        <v>45708</v>
      </c>
      <c r="B287" s="6" vm="587">
        <f ca="1"/>
        <v>416.13</v>
      </c>
      <c r="C287" s="2">
        <f t="shared" ca="1" si="11"/>
        <v>3.2735617150155796E-3</v>
      </c>
      <c r="Z287">
        <v>285</v>
      </c>
      <c r="AA287" s="8">
        <v>5.3700377034052491E-2</v>
      </c>
      <c r="AC287">
        <v>285</v>
      </c>
      <c r="AD287" s="8">
        <v>6.9994618847695797E-2</v>
      </c>
      <c r="AF287">
        <v>285</v>
      </c>
      <c r="AG287" s="8">
        <v>2.3011581889622611E-2</v>
      </c>
    </row>
    <row r="288" spans="1:33" ht="15" customHeight="1" x14ac:dyDescent="0.35">
      <c r="A288" vm="588">
        <f ca="1"/>
        <v>45709</v>
      </c>
      <c r="B288" s="6" vm="589">
        <f ca="1"/>
        <v>408.21</v>
      </c>
      <c r="C288" s="2">
        <f t="shared" ca="1" si="11"/>
        <v>-1.9215963572431702E-2</v>
      </c>
      <c r="Z288">
        <v>286</v>
      </c>
      <c r="AA288" s="8">
        <v>1.9848259885271662E-2</v>
      </c>
      <c r="AC288">
        <v>286</v>
      </c>
      <c r="AD288" s="8">
        <v>2.8432330027051842E-2</v>
      </c>
      <c r="AF288">
        <v>286</v>
      </c>
      <c r="AG288" s="8">
        <v>2.3931660771288013E-2</v>
      </c>
    </row>
    <row r="289" spans="1:33" ht="15" customHeight="1" x14ac:dyDescent="0.35">
      <c r="A289" vm="590">
        <f ca="1"/>
        <v>45712</v>
      </c>
      <c r="B289" s="6" vm="591">
        <f ca="1"/>
        <v>404</v>
      </c>
      <c r="C289" s="2">
        <f t="shared" ca="1" si="11"/>
        <v>-1.0366869909726645E-2</v>
      </c>
      <c r="Z289">
        <v>287</v>
      </c>
      <c r="AA289" s="8">
        <v>2.3558177500640549E-2</v>
      </c>
      <c r="AC289">
        <v>287</v>
      </c>
      <c r="AD289" s="8">
        <v>2.1714505443720212E-2</v>
      </c>
      <c r="AF289">
        <v>287</v>
      </c>
      <c r="AG289" s="8">
        <v>2.2833678437066077E-2</v>
      </c>
    </row>
    <row r="290" spans="1:33" ht="15" customHeight="1" x14ac:dyDescent="0.35">
      <c r="A290" vm="592">
        <f ca="1"/>
        <v>45713</v>
      </c>
      <c r="B290" s="6" vm="593">
        <f ca="1"/>
        <v>397.9</v>
      </c>
      <c r="C290" s="2">
        <f t="shared" ca="1" si="11"/>
        <v>-1.5214160528267129E-2</v>
      </c>
      <c r="Z290">
        <v>288</v>
      </c>
      <c r="AA290" s="8">
        <v>1.5577333345474504E-2</v>
      </c>
      <c r="AC290">
        <v>288</v>
      </c>
      <c r="AD290" s="8">
        <v>7.5812791697900062E-2</v>
      </c>
      <c r="AF290">
        <v>288</v>
      </c>
      <c r="AG290" s="8">
        <v>2.4005645414820288E-2</v>
      </c>
    </row>
    <row r="291" spans="1:33" ht="15" customHeight="1" x14ac:dyDescent="0.35">
      <c r="A291" vm="594">
        <f ca="1"/>
        <v>45714</v>
      </c>
      <c r="B291" s="6" vm="595">
        <f ca="1"/>
        <v>399.73</v>
      </c>
      <c r="C291" s="2">
        <f t="shared" ca="1" si="11"/>
        <v>4.5886017600314973E-3</v>
      </c>
      <c r="Z291">
        <v>289</v>
      </c>
      <c r="AA291" s="8">
        <v>2.3263989640138153E-2</v>
      </c>
      <c r="AC291">
        <v>289</v>
      </c>
      <c r="AD291" s="8">
        <v>2.9102374962958144E-2</v>
      </c>
      <c r="AF291">
        <v>289</v>
      </c>
      <c r="AG291" s="8">
        <v>2.2886663123090914E-2</v>
      </c>
    </row>
    <row r="292" spans="1:33" ht="15" customHeight="1" x14ac:dyDescent="0.35">
      <c r="A292" vm="596">
        <f ca="1"/>
        <v>45715</v>
      </c>
      <c r="B292" s="6" vm="597">
        <f ca="1"/>
        <v>392.53</v>
      </c>
      <c r="C292" s="2">
        <f t="shared" ca="1" si="11"/>
        <v>-1.8176351770294481E-2</v>
      </c>
      <c r="Z292">
        <v>290</v>
      </c>
      <c r="AA292" s="8">
        <v>4.4194696824242145E-2</v>
      </c>
      <c r="AC292">
        <v>290</v>
      </c>
      <c r="AD292" s="8">
        <v>4.8165780183129142E-2</v>
      </c>
      <c r="AF292">
        <v>290</v>
      </c>
      <c r="AG292" s="8">
        <v>2.0483059527326153E-2</v>
      </c>
    </row>
    <row r="293" spans="1:33" ht="15" customHeight="1" x14ac:dyDescent="0.35">
      <c r="A293" vm="598">
        <f ca="1"/>
        <v>45716</v>
      </c>
      <c r="B293" s="6" vm="599">
        <f ca="1"/>
        <v>396.99</v>
      </c>
      <c r="C293" s="2">
        <f t="shared" ca="1" si="11"/>
        <v>1.1298124030447871E-2</v>
      </c>
      <c r="Z293">
        <v>291</v>
      </c>
      <c r="AA293" s="8">
        <v>7.5859955517280891E-2</v>
      </c>
      <c r="AC293">
        <v>291</v>
      </c>
      <c r="AD293" s="8">
        <v>1.5840466218225588E-2</v>
      </c>
      <c r="AF293">
        <v>291</v>
      </c>
      <c r="AG293" s="8">
        <v>2.2727937540629749E-2</v>
      </c>
    </row>
    <row r="294" spans="1:33" ht="15" customHeight="1" x14ac:dyDescent="0.35">
      <c r="A294" vm="600">
        <f ca="1"/>
        <v>45719</v>
      </c>
      <c r="B294" s="6" vm="601">
        <f ca="1"/>
        <v>388.49</v>
      </c>
      <c r="C294" s="2">
        <f t="shared" ca="1" si="11"/>
        <v>-2.1643662002385777E-2</v>
      </c>
      <c r="Z294">
        <v>292</v>
      </c>
      <c r="AA294" s="8">
        <v>2.6710079107559948E-2</v>
      </c>
      <c r="AC294">
        <v>292</v>
      </c>
      <c r="AD294" s="8">
        <v>4.7436704097890914E-2</v>
      </c>
      <c r="AF294">
        <v>292</v>
      </c>
      <c r="AG294" s="8">
        <v>2.2843567433458098E-2</v>
      </c>
    </row>
    <row r="295" spans="1:33" ht="15" customHeight="1" x14ac:dyDescent="0.35">
      <c r="A295" vm="602">
        <f ca="1"/>
        <v>45720</v>
      </c>
      <c r="B295" s="6" vm="603">
        <f ca="1"/>
        <v>388.61</v>
      </c>
      <c r="C295" s="2">
        <f t="shared" ca="1" si="11"/>
        <v>3.0884056351513414E-4</v>
      </c>
      <c r="Z295">
        <v>293</v>
      </c>
      <c r="AA295" s="8">
        <v>9.0829927369670757E-2</v>
      </c>
      <c r="AC295">
        <v>293</v>
      </c>
      <c r="AD295" s="8">
        <v>3.8667031058880544E-2</v>
      </c>
      <c r="AF295">
        <v>293</v>
      </c>
      <c r="AG295" s="8">
        <v>2.2748793243700393E-2</v>
      </c>
    </row>
    <row r="296" spans="1:33" ht="15" customHeight="1" x14ac:dyDescent="0.35">
      <c r="A296" vm="604">
        <f ca="1"/>
        <v>45721</v>
      </c>
      <c r="B296" s="6" vm="605">
        <f ca="1"/>
        <v>401.02</v>
      </c>
      <c r="C296" s="2">
        <f t="shared" ca="1" si="11"/>
        <v>3.1435031360360591E-2</v>
      </c>
      <c r="Z296">
        <v>294</v>
      </c>
      <c r="AA296" s="8">
        <v>5.4032360791817148E-2</v>
      </c>
      <c r="AC296">
        <v>294</v>
      </c>
      <c r="AD296" s="8">
        <v>2.1539833017072657E-2</v>
      </c>
      <c r="AF296">
        <v>294</v>
      </c>
      <c r="AG296" s="8">
        <v>2.3674665462976554E-2</v>
      </c>
    </row>
    <row r="297" spans="1:33" ht="15" customHeight="1" x14ac:dyDescent="0.35">
      <c r="A297" vm="606">
        <f ca="1"/>
        <v>45722</v>
      </c>
      <c r="B297" s="6" vm="607">
        <f ca="1"/>
        <v>396.89</v>
      </c>
      <c r="C297" s="2">
        <f t="shared" ca="1" si="11"/>
        <v>-1.035213716623464E-2</v>
      </c>
      <c r="Z297">
        <v>295</v>
      </c>
      <c r="AA297" s="8">
        <v>3.0998126011345918E-2</v>
      </c>
      <c r="AC297">
        <v>295</v>
      </c>
      <c r="AD297" s="8">
        <v>3.6530402607880812E-2</v>
      </c>
      <c r="AF297">
        <v>295</v>
      </c>
      <c r="AG297" s="8">
        <v>2.3455812624546438E-2</v>
      </c>
    </row>
    <row r="298" spans="1:33" ht="15" customHeight="1" x14ac:dyDescent="0.35">
      <c r="A298" vm="608">
        <f ca="1"/>
        <v>45723</v>
      </c>
      <c r="B298" s="6" vm="609">
        <f ca="1"/>
        <v>393.31</v>
      </c>
      <c r="C298" s="2">
        <f t="shared" ca="1" si="11"/>
        <v>-9.0610592102421551E-3</v>
      </c>
      <c r="Z298">
        <v>296</v>
      </c>
      <c r="AA298" s="8">
        <v>1.801327115548047E-2</v>
      </c>
      <c r="AC298">
        <v>296</v>
      </c>
      <c r="AD298" s="8">
        <v>2.5123575914279227E-2</v>
      </c>
      <c r="AF298">
        <v>296</v>
      </c>
      <c r="AG298" s="8">
        <v>2.3106169139550173E-2</v>
      </c>
    </row>
    <row r="299" spans="1:33" ht="15" customHeight="1" x14ac:dyDescent="0.35">
      <c r="A299" vm="610">
        <f ca="1"/>
        <v>45726</v>
      </c>
      <c r="B299" s="6" vm="611">
        <f ca="1"/>
        <v>380.16</v>
      </c>
      <c r="C299" s="2">
        <f t="shared" ca="1" si="11"/>
        <v>-3.400588826385554E-2</v>
      </c>
      <c r="Z299">
        <v>297</v>
      </c>
      <c r="AA299" s="8">
        <v>1.5374565136488166E-2</v>
      </c>
      <c r="AC299">
        <v>297</v>
      </c>
      <c r="AD299" s="8">
        <v>6.7761012528523609E-2</v>
      </c>
      <c r="AF299">
        <v>297</v>
      </c>
      <c r="AG299" s="8">
        <v>2.344825845583777E-2</v>
      </c>
    </row>
    <row r="300" spans="1:33" ht="15" customHeight="1" x14ac:dyDescent="0.35">
      <c r="A300" vm="612">
        <f ca="1"/>
        <v>45727</v>
      </c>
      <c r="B300" s="6" vm="613">
        <f ca="1"/>
        <v>380.45</v>
      </c>
      <c r="C300" s="2">
        <f t="shared" ca="1" si="11"/>
        <v>7.625458883061385E-4</v>
      </c>
      <c r="Z300">
        <v>298</v>
      </c>
      <c r="AA300" s="8">
        <v>1.4737171576198629E-2</v>
      </c>
      <c r="AC300">
        <v>298</v>
      </c>
      <c r="AD300" s="8">
        <v>2.5144544551286622E-2</v>
      </c>
      <c r="AF300">
        <v>298</v>
      </c>
      <c r="AG300" s="8">
        <v>2.4666122495895882E-2</v>
      </c>
    </row>
    <row r="301" spans="1:33" ht="15" customHeight="1" x14ac:dyDescent="0.35">
      <c r="A301" vm="614">
        <f ca="1"/>
        <v>45728</v>
      </c>
      <c r="B301" s="6" vm="615">
        <f ca="1"/>
        <v>383.27</v>
      </c>
      <c r="C301" s="2">
        <f t="shared" ca="1" si="11"/>
        <v>7.3849390254533617E-3</v>
      </c>
      <c r="Z301">
        <v>299</v>
      </c>
      <c r="AA301" s="8">
        <v>2.5697946627510081E-2</v>
      </c>
      <c r="AC301">
        <v>299</v>
      </c>
      <c r="AD301" s="8">
        <v>3.4507136819390972E-2</v>
      </c>
      <c r="AF301">
        <v>299</v>
      </c>
      <c r="AG301" s="8">
        <v>2.2706908741510275E-2</v>
      </c>
    </row>
    <row r="302" spans="1:33" ht="15" customHeight="1" x14ac:dyDescent="0.35">
      <c r="A302" vm="616">
        <f ca="1"/>
        <v>45729</v>
      </c>
      <c r="B302" s="6" vm="617">
        <f ca="1"/>
        <v>378.77</v>
      </c>
      <c r="C302" s="2">
        <f t="shared" ca="1" si="11"/>
        <v>-1.1810540938027794E-2</v>
      </c>
      <c r="Z302">
        <v>300</v>
      </c>
      <c r="AA302" s="8">
        <v>3.197578164590982E-2</v>
      </c>
      <c r="AC302">
        <v>300</v>
      </c>
      <c r="AD302" s="8">
        <v>3.1250163510982892E-2</v>
      </c>
      <c r="AF302">
        <v>300</v>
      </c>
      <c r="AG302" s="8">
        <v>2.3422751224919339E-2</v>
      </c>
    </row>
    <row r="303" spans="1:33" ht="15" customHeight="1" x14ac:dyDescent="0.35">
      <c r="A303" vm="618">
        <f ca="1"/>
        <v>45730</v>
      </c>
      <c r="B303" s="6" vm="619">
        <f ca="1"/>
        <v>388.56</v>
      </c>
      <c r="C303" s="2">
        <f t="shared" ca="1" si="11"/>
        <v>2.5518437327532274E-2</v>
      </c>
      <c r="Z303">
        <v>301</v>
      </c>
      <c r="AA303" s="8">
        <v>1.6127782971859878E-2</v>
      </c>
      <c r="AC303">
        <v>301</v>
      </c>
      <c r="AD303" s="8">
        <v>1.8990222234359963E-2</v>
      </c>
      <c r="AF303">
        <v>301</v>
      </c>
      <c r="AG303" s="8">
        <v>2.2384594466086441E-2</v>
      </c>
    </row>
    <row r="304" spans="1:33" ht="15" customHeight="1" x14ac:dyDescent="0.35">
      <c r="A304" vm="620">
        <f ca="1"/>
        <v>45733</v>
      </c>
      <c r="B304" s="6" vm="621">
        <f ca="1"/>
        <v>388.7</v>
      </c>
      <c r="C304" s="2">
        <f t="shared" ca="1" si="11"/>
        <v>3.6023982068814872E-4</v>
      </c>
      <c r="Z304">
        <v>302</v>
      </c>
      <c r="AA304" s="8">
        <v>2.9300948018272994E-2</v>
      </c>
      <c r="AC304">
        <v>302</v>
      </c>
      <c r="AD304" s="8">
        <v>2.6448170206584468E-2</v>
      </c>
      <c r="AF304">
        <v>302</v>
      </c>
      <c r="AG304" s="8">
        <v>2.2170459962528689E-2</v>
      </c>
    </row>
    <row r="305" spans="1:33" ht="15" customHeight="1" x14ac:dyDescent="0.35">
      <c r="A305" vm="622">
        <f ca="1"/>
        <v>45734</v>
      </c>
      <c r="B305" s="6" vm="623">
        <f ca="1"/>
        <v>383.52</v>
      </c>
      <c r="C305" s="2">
        <f t="shared" ca="1" si="11"/>
        <v>-1.3416067172103214E-2</v>
      </c>
      <c r="Z305">
        <v>303</v>
      </c>
      <c r="AA305" s="8">
        <v>2.4041670123367092E-2</v>
      </c>
      <c r="AC305">
        <v>303</v>
      </c>
      <c r="AD305" s="8">
        <v>1.8432308311040847E-2</v>
      </c>
      <c r="AF305">
        <v>303</v>
      </c>
      <c r="AG305" s="8">
        <v>2.3412561282066726E-2</v>
      </c>
    </row>
    <row r="306" spans="1:33" ht="15" customHeight="1" x14ac:dyDescent="0.35">
      <c r="A306" vm="624">
        <f ca="1"/>
        <v>45735</v>
      </c>
      <c r="B306" s="6" vm="625">
        <f ca="1"/>
        <v>387.82</v>
      </c>
      <c r="C306" s="2">
        <f t="shared" ca="1" si="11"/>
        <v>1.1149543768397812E-2</v>
      </c>
      <c r="Z306">
        <v>304</v>
      </c>
      <c r="AA306" s="8">
        <v>5.0360171667850631E-2</v>
      </c>
      <c r="AC306">
        <v>304</v>
      </c>
      <c r="AD306" s="8">
        <v>2.7986626529593397E-2</v>
      </c>
      <c r="AF306">
        <v>304</v>
      </c>
      <c r="AG306" s="8">
        <v>2.2793182860779661E-2</v>
      </c>
    </row>
    <row r="307" spans="1:33" ht="15" customHeight="1" x14ac:dyDescent="0.35">
      <c r="A307" vm="626">
        <f ca="1"/>
        <v>45736</v>
      </c>
      <c r="B307" s="6" vm="627">
        <f ca="1"/>
        <v>386.84</v>
      </c>
      <c r="C307" s="2">
        <f t="shared" ca="1" si="11"/>
        <v>-2.5301436057094781E-3</v>
      </c>
      <c r="Z307">
        <v>305</v>
      </c>
      <c r="AA307" s="8">
        <v>4.4206502551399206E-2</v>
      </c>
      <c r="AC307">
        <v>305</v>
      </c>
      <c r="AD307" s="8">
        <v>4.349141270306451E-2</v>
      </c>
      <c r="AF307">
        <v>305</v>
      </c>
      <c r="AG307" s="8">
        <v>2.3876931642780055E-2</v>
      </c>
    </row>
    <row r="308" spans="1:33" ht="15" customHeight="1" x14ac:dyDescent="0.35">
      <c r="A308" vm="628">
        <f ca="1"/>
        <v>45737</v>
      </c>
      <c r="B308" s="6" vm="629">
        <f ca="1"/>
        <v>391.26</v>
      </c>
      <c r="C308" s="2">
        <f t="shared" ca="1" si="11"/>
        <v>1.1361129784403443E-2</v>
      </c>
      <c r="Z308">
        <v>306</v>
      </c>
      <c r="AA308" s="8">
        <v>4.3496195868412454E-2</v>
      </c>
      <c r="AC308">
        <v>306</v>
      </c>
      <c r="AD308" s="8">
        <v>2.6232404193831518E-2</v>
      </c>
      <c r="AF308">
        <v>306</v>
      </c>
      <c r="AG308" s="8">
        <v>2.26556621291252E-2</v>
      </c>
    </row>
    <row r="309" spans="1:33" ht="15" customHeight="1" x14ac:dyDescent="0.35">
      <c r="A309" vm="630">
        <f ca="1"/>
        <v>45740</v>
      </c>
      <c r="B309" s="6" vm="631">
        <f ca="1"/>
        <v>393.08</v>
      </c>
      <c r="C309" s="2">
        <f t="shared" ca="1" si="11"/>
        <v>4.6408528610601728E-3</v>
      </c>
      <c r="Z309">
        <v>307</v>
      </c>
      <c r="AA309" s="8">
        <v>3.5380201635625087E-2</v>
      </c>
      <c r="AC309">
        <v>307</v>
      </c>
      <c r="AD309" s="8">
        <v>3.1914742974836492E-2</v>
      </c>
      <c r="AF309">
        <v>307</v>
      </c>
      <c r="AG309" s="8">
        <v>2.2629219068018649E-2</v>
      </c>
    </row>
    <row r="310" spans="1:33" ht="15" customHeight="1" x14ac:dyDescent="0.35">
      <c r="A310" vm="632">
        <f ca="1"/>
        <v>45741</v>
      </c>
      <c r="B310" s="6" vm="633">
        <f ca="1"/>
        <v>395.16</v>
      </c>
      <c r="C310" s="2">
        <f t="shared" ca="1" si="11"/>
        <v>5.2775926820471525E-3</v>
      </c>
      <c r="Z310">
        <v>308</v>
      </c>
      <c r="AA310" s="8">
        <v>2.0688727594598826E-2</v>
      </c>
      <c r="AC310">
        <v>308</v>
      </c>
      <c r="AD310" s="8">
        <v>3.247943669467989E-2</v>
      </c>
      <c r="AF310">
        <v>308</v>
      </c>
      <c r="AG310" s="8">
        <v>2.3086638816981284E-2</v>
      </c>
    </row>
    <row r="311" spans="1:33" ht="15" customHeight="1" x14ac:dyDescent="0.35">
      <c r="A311" vm="634">
        <f ca="1"/>
        <v>45742</v>
      </c>
      <c r="B311" s="6" vm="635">
        <f ca="1"/>
        <v>389.97</v>
      </c>
      <c r="C311" s="2">
        <f t="shared" ca="1" si="11"/>
        <v>-1.3220933088235803E-2</v>
      </c>
      <c r="Z311">
        <v>309</v>
      </c>
      <c r="AA311" s="8">
        <v>6.9186332789807362E-2</v>
      </c>
      <c r="AC311">
        <v>309</v>
      </c>
      <c r="AD311" s="8">
        <v>5.4752635879828461E-2</v>
      </c>
      <c r="AF311">
        <v>309</v>
      </c>
      <c r="AG311" s="8">
        <v>2.3801818447685828E-2</v>
      </c>
    </row>
    <row r="312" spans="1:33" ht="15" customHeight="1" x14ac:dyDescent="0.35">
      <c r="A312" vm="636">
        <f ca="1"/>
        <v>45743</v>
      </c>
      <c r="B312" s="6" vm="637">
        <f ca="1"/>
        <v>390.58</v>
      </c>
      <c r="C312" s="2">
        <f t="shared" ca="1" si="11"/>
        <v>1.5630007665987881E-3</v>
      </c>
      <c r="Z312">
        <v>310</v>
      </c>
      <c r="AA312" s="8">
        <v>1.4469526677170214E-2</v>
      </c>
      <c r="AC312">
        <v>310</v>
      </c>
      <c r="AD312" s="8">
        <v>3.190647251639437E-2</v>
      </c>
      <c r="AF312">
        <v>310</v>
      </c>
      <c r="AG312" s="8">
        <v>2.3138333531507741E-2</v>
      </c>
    </row>
    <row r="313" spans="1:33" ht="15" customHeight="1" x14ac:dyDescent="0.35">
      <c r="A313" vm="638">
        <f ca="1"/>
        <v>45744</v>
      </c>
      <c r="B313" s="6" vm="639">
        <f ca="1"/>
        <v>378.8</v>
      </c>
      <c r="C313" s="2">
        <f t="shared" ca="1" si="11"/>
        <v>-3.0624452542713034E-2</v>
      </c>
      <c r="Z313">
        <v>311</v>
      </c>
      <c r="AA313" s="8">
        <v>5.956700746179526E-2</v>
      </c>
      <c r="AC313">
        <v>311</v>
      </c>
      <c r="AD313" s="8">
        <v>4.8221555564968523E-2</v>
      </c>
      <c r="AF313">
        <v>311</v>
      </c>
      <c r="AG313" s="8">
        <v>2.4149120555041505E-2</v>
      </c>
    </row>
    <row r="314" spans="1:33" ht="15" customHeight="1" x14ac:dyDescent="0.35">
      <c r="A314" vm="640">
        <f ca="1"/>
        <v>45747</v>
      </c>
      <c r="B314" s="6" vm="641">
        <f ca="1"/>
        <v>375.39</v>
      </c>
      <c r="C314" s="2">
        <f t="shared" ca="1" si="11"/>
        <v>-9.0428757668499331E-3</v>
      </c>
      <c r="Z314">
        <v>312</v>
      </c>
      <c r="AA314" s="8">
        <v>8.4357346905534841E-2</v>
      </c>
      <c r="AC314">
        <v>312</v>
      </c>
      <c r="AD314" s="8">
        <v>3.3687465413751456E-2</v>
      </c>
      <c r="AF314">
        <v>312</v>
      </c>
      <c r="AG314" s="8">
        <v>2.5489203583293374E-2</v>
      </c>
    </row>
    <row r="315" spans="1:33" ht="15" customHeight="1" x14ac:dyDescent="0.35">
      <c r="A315" vm="642">
        <f ca="1"/>
        <v>45748</v>
      </c>
      <c r="B315" s="6" vm="643">
        <f ca="1"/>
        <v>382.19</v>
      </c>
      <c r="C315" s="2">
        <f t="shared" ca="1" si="11"/>
        <v>1.7952381606929239E-2</v>
      </c>
      <c r="Z315">
        <v>313</v>
      </c>
      <c r="AA315" s="8">
        <v>1.9532703987569552E-2</v>
      </c>
      <c r="AC315">
        <v>313</v>
      </c>
      <c r="AD315" s="8">
        <v>2.6477142720933752E-2</v>
      </c>
      <c r="AF315">
        <v>313</v>
      </c>
      <c r="AG315" s="8">
        <v>2.3040389953382576E-2</v>
      </c>
    </row>
    <row r="316" spans="1:33" ht="15" customHeight="1" x14ac:dyDescent="0.35">
      <c r="A316" vm="644">
        <f ca="1"/>
        <v>45749</v>
      </c>
      <c r="B316" s="6" vm="645">
        <f ca="1"/>
        <v>382.14</v>
      </c>
      <c r="C316" s="2">
        <f t="shared" ca="1" si="11"/>
        <v>-1.308335406730681E-4</v>
      </c>
      <c r="Z316">
        <v>314</v>
      </c>
      <c r="AA316" s="8">
        <v>2.8933187467936355E-2</v>
      </c>
      <c r="AC316">
        <v>314</v>
      </c>
      <c r="AD316" s="8">
        <v>2.961386470756364E-2</v>
      </c>
      <c r="AF316">
        <v>314</v>
      </c>
      <c r="AG316" s="8">
        <v>2.3152790081028086E-2</v>
      </c>
    </row>
    <row r="317" spans="1:33" ht="15" customHeight="1" x14ac:dyDescent="0.35">
      <c r="A317" vm="646">
        <f ca="1"/>
        <v>45750</v>
      </c>
      <c r="B317" s="6" vm="647">
        <f ca="1"/>
        <v>373.11</v>
      </c>
      <c r="C317" s="2">
        <f t="shared" ca="1" si="11"/>
        <v>-2.3913751277569985E-2</v>
      </c>
      <c r="Z317">
        <v>315</v>
      </c>
      <c r="AA317" s="8">
        <v>1.8869337358588451E-2</v>
      </c>
      <c r="AC317">
        <v>315</v>
      </c>
      <c r="AD317" s="8">
        <v>7.0312429841324298E-2</v>
      </c>
      <c r="AF317">
        <v>315</v>
      </c>
      <c r="AG317" s="8">
        <v>2.2990503462059639E-2</v>
      </c>
    </row>
    <row r="318" spans="1:33" ht="15" customHeight="1" x14ac:dyDescent="0.35">
      <c r="A318" vm="648">
        <f ca="1"/>
        <v>45751</v>
      </c>
      <c r="B318" s="6" vm="649">
        <f ca="1"/>
        <v>359.84</v>
      </c>
      <c r="C318" s="2">
        <f t="shared" ca="1" si="11"/>
        <v>-3.6213794122753933E-2</v>
      </c>
      <c r="Z318">
        <v>316</v>
      </c>
      <c r="AA318" s="8">
        <v>1.8692807783287899E-2</v>
      </c>
      <c r="AC318">
        <v>316</v>
      </c>
      <c r="AD318" s="8">
        <v>4.2749648306384509E-2</v>
      </c>
      <c r="AF318">
        <v>316</v>
      </c>
      <c r="AG318" s="8">
        <v>2.3468815844975122E-2</v>
      </c>
    </row>
    <row r="319" spans="1:33" ht="15" customHeight="1" x14ac:dyDescent="0.35">
      <c r="A319" vm="650">
        <f ca="1"/>
        <v>45754</v>
      </c>
      <c r="B319" s="6" vm="651">
        <f ca="1"/>
        <v>357.86</v>
      </c>
      <c r="C319" s="2">
        <f t="shared" ca="1" si="11"/>
        <v>-5.5176397472896594E-3</v>
      </c>
      <c r="Z319">
        <v>317</v>
      </c>
      <c r="AA319" s="8">
        <v>4.2031093705438338E-2</v>
      </c>
      <c r="AC319">
        <v>317</v>
      </c>
      <c r="AD319" s="8">
        <v>8.4143622445033803E-2</v>
      </c>
      <c r="AF319">
        <v>317</v>
      </c>
      <c r="AG319" s="8">
        <v>2.3335384725421404E-2</v>
      </c>
    </row>
    <row r="320" spans="1:33" ht="15" customHeight="1" x14ac:dyDescent="0.35">
      <c r="A320" vm="652">
        <f ca="1"/>
        <v>45755</v>
      </c>
      <c r="B320" s="6" vm="653">
        <f ca="1"/>
        <v>354.56</v>
      </c>
      <c r="C320" s="2">
        <f t="shared" ca="1" si="11"/>
        <v>-9.2642643448515635E-3</v>
      </c>
      <c r="Z320">
        <v>318</v>
      </c>
      <c r="AA320" s="8">
        <v>2.3357035992438924E-2</v>
      </c>
      <c r="AC320">
        <v>318</v>
      </c>
      <c r="AD320" s="8">
        <v>3.5514100615225551E-2</v>
      </c>
      <c r="AF320">
        <v>318</v>
      </c>
      <c r="AG320" s="8">
        <v>2.3303419094268606E-2</v>
      </c>
    </row>
    <row r="321" spans="1:33" ht="15" customHeight="1" x14ac:dyDescent="0.35">
      <c r="A321" vm="654">
        <f ca="1"/>
        <v>45756</v>
      </c>
      <c r="B321" s="6" vm="655">
        <f ca="1"/>
        <v>390.49</v>
      </c>
      <c r="C321" s="2">
        <f t="shared" ca="1" si="11"/>
        <v>9.6524776638358664E-2</v>
      </c>
      <c r="Z321">
        <v>319</v>
      </c>
      <c r="AA321" s="8">
        <v>1.8056471339898968E-2</v>
      </c>
      <c r="AC321">
        <v>319</v>
      </c>
      <c r="AD321" s="8">
        <v>5.607984655424611E-2</v>
      </c>
      <c r="AF321">
        <v>319</v>
      </c>
      <c r="AG321" s="8">
        <v>2.2456915817398729E-2</v>
      </c>
    </row>
    <row r="322" spans="1:33" ht="15" customHeight="1" x14ac:dyDescent="0.35">
      <c r="A322" vm="656">
        <f ca="1"/>
        <v>45757</v>
      </c>
      <c r="B322" s="6" vm="657">
        <f ca="1"/>
        <v>381.35</v>
      </c>
      <c r="C322" s="2">
        <f t="shared" ca="1" si="11"/>
        <v>-2.3684772146975341E-2</v>
      </c>
      <c r="Z322">
        <v>320</v>
      </c>
      <c r="AA322" s="8">
        <v>1.9844108753283969E-2</v>
      </c>
      <c r="AC322">
        <v>320</v>
      </c>
      <c r="AD322" s="8">
        <v>5.0103483174907121E-2</v>
      </c>
      <c r="AF322">
        <v>320</v>
      </c>
      <c r="AG322" s="8">
        <v>2.291856049483236E-2</v>
      </c>
    </row>
    <row r="323" spans="1:33" ht="15" customHeight="1" x14ac:dyDescent="0.35">
      <c r="A323" vm="658">
        <f ca="1"/>
        <v>45758</v>
      </c>
      <c r="B323" s="6" vm="659">
        <f ca="1"/>
        <v>388.45</v>
      </c>
      <c r="C323" s="2">
        <f t="shared" ca="1" si="11"/>
        <v>1.8446872786182199E-2</v>
      </c>
      <c r="Z323">
        <v>321</v>
      </c>
      <c r="AA323" s="8">
        <v>4.1870725144111456E-2</v>
      </c>
      <c r="AC323">
        <v>321</v>
      </c>
      <c r="AD323" s="8">
        <v>2.8007716650158488E-2</v>
      </c>
      <c r="AF323">
        <v>321</v>
      </c>
      <c r="AG323" s="8">
        <v>2.2644784249346624E-2</v>
      </c>
    </row>
    <row r="324" spans="1:33" ht="15" customHeight="1" x14ac:dyDescent="0.35">
      <c r="A324" vm="660">
        <f ca="1"/>
        <v>45761</v>
      </c>
      <c r="B324" s="6" vm="661">
        <f ca="1"/>
        <v>387.81</v>
      </c>
      <c r="C324" s="2">
        <f t="shared" ca="1" si="11"/>
        <v>-1.6489324324636817E-3</v>
      </c>
      <c r="Z324">
        <v>322</v>
      </c>
      <c r="AA324" s="8">
        <v>1.982239645054102E-2</v>
      </c>
      <c r="AC324">
        <v>322</v>
      </c>
      <c r="AD324" s="8">
        <v>2.2351928882770464E-2</v>
      </c>
      <c r="AF324">
        <v>322</v>
      </c>
      <c r="AG324" s="8">
        <v>2.5498498553157556E-2</v>
      </c>
    </row>
    <row r="325" spans="1:33" ht="15" customHeight="1" x14ac:dyDescent="0.35">
      <c r="A325" vm="662">
        <f ca="1"/>
        <v>45762</v>
      </c>
      <c r="B325" s="6" vm="663">
        <f ca="1"/>
        <v>385.73</v>
      </c>
      <c r="C325" s="2">
        <f t="shared" ca="1" si="11"/>
        <v>-5.3778861159995183E-3</v>
      </c>
      <c r="Z325">
        <v>323</v>
      </c>
      <c r="AA325" s="8">
        <v>1.9611994730927691E-2</v>
      </c>
      <c r="AC325">
        <v>323</v>
      </c>
      <c r="AD325" s="8">
        <v>1.2936270092420115E-2</v>
      </c>
      <c r="AF325">
        <v>323</v>
      </c>
      <c r="AG325" s="8">
        <v>2.325169333653487E-2</v>
      </c>
    </row>
    <row r="326" spans="1:33" ht="15" customHeight="1" x14ac:dyDescent="0.35">
      <c r="A326" vm="664">
        <f ca="1"/>
        <v>45763</v>
      </c>
      <c r="B326" s="6" vm="665">
        <f ca="1"/>
        <v>371.61</v>
      </c>
      <c r="C326" s="2">
        <f t="shared" ref="C326:C389" ca="1" si="12">IFERROR(LN(B326/B325),C325)</f>
        <v>-3.7292725613748225E-2</v>
      </c>
      <c r="Z326">
        <v>324</v>
      </c>
      <c r="AA326" s="8">
        <v>5.5090167541138269E-2</v>
      </c>
      <c r="AC326">
        <v>324</v>
      </c>
      <c r="AD326" s="8">
        <v>5.8196988626282309E-2</v>
      </c>
      <c r="AF326">
        <v>324</v>
      </c>
      <c r="AG326" s="8">
        <v>2.2350217163404167E-2</v>
      </c>
    </row>
    <row r="327" spans="1:33" ht="15" customHeight="1" x14ac:dyDescent="0.35">
      <c r="A327" vm="666">
        <f ca="1"/>
        <v>45764</v>
      </c>
      <c r="B327" s="6" vm="667">
        <f ca="1"/>
        <v>367.78</v>
      </c>
      <c r="C327" s="2">
        <f t="shared" ca="1" si="12"/>
        <v>-1.0359983921511193E-2</v>
      </c>
      <c r="Z327">
        <v>325</v>
      </c>
      <c r="AA327" s="8">
        <v>4.1160937656094673E-2</v>
      </c>
      <c r="AC327">
        <v>325</v>
      </c>
      <c r="AD327" s="8">
        <v>4.6806817337697808E-2</v>
      </c>
      <c r="AF327">
        <v>325</v>
      </c>
      <c r="AG327" s="8">
        <v>2.3043563151740828E-2</v>
      </c>
    </row>
    <row r="328" spans="1:33" ht="15" customHeight="1" x14ac:dyDescent="0.35">
      <c r="A328" vm="668">
        <f ca="1"/>
        <v>45768</v>
      </c>
      <c r="B328" s="6" vm="669">
        <f ca="1"/>
        <v>359.12</v>
      </c>
      <c r="C328" s="2">
        <f t="shared" ca="1" si="12"/>
        <v>-2.3828338839030391E-2</v>
      </c>
      <c r="Z328">
        <v>326</v>
      </c>
      <c r="AA328" s="8">
        <v>1.8288085586023368E-2</v>
      </c>
      <c r="AC328">
        <v>326</v>
      </c>
      <c r="AD328" s="8">
        <v>1.8465884001492038E-2</v>
      </c>
      <c r="AF328">
        <v>326</v>
      </c>
      <c r="AG328" s="8">
        <v>2.1843236525580432E-2</v>
      </c>
    </row>
    <row r="329" spans="1:33" ht="15" customHeight="1" x14ac:dyDescent="0.35">
      <c r="A329" vm="670">
        <f ca="1"/>
        <v>45769</v>
      </c>
      <c r="B329" s="6" vm="671">
        <f ca="1"/>
        <v>366.82</v>
      </c>
      <c r="C329" s="2">
        <f t="shared" ca="1" si="12"/>
        <v>2.1214670049209856E-2</v>
      </c>
      <c r="Z329">
        <v>327</v>
      </c>
      <c r="AA329" s="8">
        <v>2.3764038049757304E-2</v>
      </c>
      <c r="AC329">
        <v>327</v>
      </c>
      <c r="AD329" s="8">
        <v>6.2229164259353056E-2</v>
      </c>
      <c r="AF329">
        <v>327</v>
      </c>
      <c r="AG329" s="8">
        <v>2.2691512118151114E-2</v>
      </c>
    </row>
    <row r="330" spans="1:33" ht="15" customHeight="1" x14ac:dyDescent="0.35">
      <c r="A330" vm="672">
        <f ca="1"/>
        <v>45770</v>
      </c>
      <c r="B330" s="6" vm="673">
        <f ca="1"/>
        <v>374.39</v>
      </c>
      <c r="C330" s="2">
        <f t="shared" ca="1" si="12"/>
        <v>2.0426770322138518E-2</v>
      </c>
      <c r="Z330">
        <v>328</v>
      </c>
      <c r="AA330" s="8">
        <v>1.1571661195994874E-2</v>
      </c>
      <c r="AC330">
        <v>328</v>
      </c>
      <c r="AD330" s="8">
        <v>3.4123455382763769E-2</v>
      </c>
      <c r="AF330">
        <v>328</v>
      </c>
      <c r="AG330" s="8">
        <v>2.3634119664742437E-2</v>
      </c>
    </row>
    <row r="331" spans="1:33" ht="15" customHeight="1" x14ac:dyDescent="0.35">
      <c r="A331" vm="674">
        <f ca="1"/>
        <v>45771</v>
      </c>
      <c r="B331" s="6" vm="675">
        <f ca="1"/>
        <v>387.3</v>
      </c>
      <c r="C331" s="2">
        <f t="shared" ca="1" si="12"/>
        <v>3.3901551675681416E-2</v>
      </c>
      <c r="Z331">
        <v>329</v>
      </c>
      <c r="AA331" s="8">
        <v>2.8919290641918467E-2</v>
      </c>
      <c r="AC331">
        <v>329</v>
      </c>
      <c r="AD331" s="8">
        <v>2.0578914529757481E-2</v>
      </c>
      <c r="AF331">
        <v>329</v>
      </c>
      <c r="AG331" s="8">
        <v>2.3279775666978798E-2</v>
      </c>
    </row>
    <row r="332" spans="1:33" ht="15" customHeight="1" x14ac:dyDescent="0.35">
      <c r="A332" vm="676">
        <f ca="1"/>
        <v>45772</v>
      </c>
      <c r="B332" s="6" vm="677">
        <f ca="1"/>
        <v>391.85</v>
      </c>
      <c r="C332" s="2">
        <f t="shared" ca="1" si="12"/>
        <v>1.1679526978167121E-2</v>
      </c>
      <c r="Z332">
        <v>330</v>
      </c>
      <c r="AA332" s="8">
        <v>3.8728841345225265E-2</v>
      </c>
      <c r="AC332">
        <v>330</v>
      </c>
      <c r="AD332" s="8">
        <v>4.6770206092271137E-2</v>
      </c>
      <c r="AF332">
        <v>330</v>
      </c>
      <c r="AG332" s="8">
        <v>2.3110604385504652E-2</v>
      </c>
    </row>
    <row r="333" spans="1:33" ht="15" customHeight="1" x14ac:dyDescent="0.35">
      <c r="A333" vm="678">
        <f ca="1"/>
        <v>45775</v>
      </c>
      <c r="B333" s="6" vm="679">
        <f ca="1"/>
        <v>391.16</v>
      </c>
      <c r="C333" s="2">
        <f t="shared" ca="1" si="12"/>
        <v>-1.7624300547992623E-3</v>
      </c>
      <c r="Z333">
        <v>331</v>
      </c>
      <c r="AA333" s="8">
        <v>4.6061900949657023E-2</v>
      </c>
      <c r="AC333">
        <v>331</v>
      </c>
      <c r="AD333" s="8">
        <v>2.7169766074103627E-2</v>
      </c>
      <c r="AF333">
        <v>331</v>
      </c>
      <c r="AG333" s="8">
        <v>2.3476783312316275E-2</v>
      </c>
    </row>
    <row r="334" spans="1:33" ht="15" customHeight="1" x14ac:dyDescent="0.35">
      <c r="A334" vm="680">
        <f ca="1"/>
        <v>45776</v>
      </c>
      <c r="B334" s="6" vm="681">
        <f ca="1"/>
        <v>394.04</v>
      </c>
      <c r="C334" s="2">
        <f t="shared" ca="1" si="12"/>
        <v>7.3357435434040783E-3</v>
      </c>
      <c r="Z334">
        <v>332</v>
      </c>
      <c r="AA334" s="8">
        <v>0.10691059121310187</v>
      </c>
      <c r="AC334">
        <v>332</v>
      </c>
      <c r="AD334" s="8">
        <v>1.9462820932846001E-2</v>
      </c>
      <c r="AF334">
        <v>332</v>
      </c>
      <c r="AG334" s="8">
        <v>2.3494024028711966E-2</v>
      </c>
    </row>
    <row r="335" spans="1:33" ht="15" customHeight="1" x14ac:dyDescent="0.35">
      <c r="A335" vm="682">
        <f ca="1"/>
        <v>45777</v>
      </c>
      <c r="B335" s="6" vm="683">
        <f ca="1"/>
        <v>395.26</v>
      </c>
      <c r="C335" s="2">
        <f t="shared" ca="1" si="12"/>
        <v>3.0913492248099282E-3</v>
      </c>
      <c r="Z335">
        <v>333</v>
      </c>
      <c r="AA335" s="8">
        <v>1.8662120589612492E-2</v>
      </c>
      <c r="AC335">
        <v>333</v>
      </c>
      <c r="AD335" s="8">
        <v>2.6744391274941326E-2</v>
      </c>
      <c r="AF335">
        <v>333</v>
      </c>
      <c r="AG335" s="8">
        <v>2.2672673013261539E-2</v>
      </c>
    </row>
    <row r="336" spans="1:33" ht="15" customHeight="1" x14ac:dyDescent="0.35">
      <c r="A336" vm="684">
        <f ca="1"/>
        <v>45778</v>
      </c>
      <c r="B336" s="6" vm="685">
        <f ca="1"/>
        <v>425.4</v>
      </c>
      <c r="C336" s="2">
        <f t="shared" ca="1" si="12"/>
        <v>7.3486126553848397E-2</v>
      </c>
      <c r="Z336">
        <v>334</v>
      </c>
      <c r="AA336" s="8">
        <v>5.5896628692932937E-2</v>
      </c>
      <c r="AC336">
        <v>334</v>
      </c>
      <c r="AD336" s="8">
        <v>2.9034554840881296E-2</v>
      </c>
      <c r="AF336">
        <v>334</v>
      </c>
      <c r="AG336" s="8">
        <v>2.3090873382317099E-2</v>
      </c>
    </row>
    <row r="337" spans="1:33" ht="15" customHeight="1" x14ac:dyDescent="0.35">
      <c r="A337" vm="686">
        <f ca="1"/>
        <v>45779</v>
      </c>
      <c r="B337" s="6" vm="687">
        <f ca="1"/>
        <v>435.28</v>
      </c>
      <c r="C337" s="2">
        <f t="shared" ca="1" si="12"/>
        <v>2.2959599411533093E-2</v>
      </c>
      <c r="Z337">
        <v>335</v>
      </c>
      <c r="AA337" s="8">
        <v>4.0163714056561807E-2</v>
      </c>
      <c r="AC337">
        <v>335</v>
      </c>
      <c r="AD337" s="8">
        <v>3.2940990551811218E-2</v>
      </c>
      <c r="AF337">
        <v>335</v>
      </c>
      <c r="AG337" s="8">
        <v>2.3604439418586694E-2</v>
      </c>
    </row>
    <row r="338" spans="1:33" ht="15" customHeight="1" x14ac:dyDescent="0.35">
      <c r="A338" vm="688">
        <f ca="1"/>
        <v>45782</v>
      </c>
      <c r="B338" s="6" vm="689">
        <f ca="1"/>
        <v>436.17</v>
      </c>
      <c r="C338" s="2">
        <f t="shared" ca="1" si="12"/>
        <v>2.0425734337741314E-3</v>
      </c>
      <c r="Z338">
        <v>336</v>
      </c>
      <c r="AA338" s="8">
        <v>5.4340081618549488E-2</v>
      </c>
      <c r="AC338">
        <v>336</v>
      </c>
      <c r="AD338" s="8">
        <v>5.0031920605186464E-2</v>
      </c>
      <c r="AF338">
        <v>336</v>
      </c>
      <c r="AG338" s="8">
        <v>2.2559166945123086E-2</v>
      </c>
    </row>
    <row r="339" spans="1:33" ht="15" customHeight="1" x14ac:dyDescent="0.35">
      <c r="A339" vm="690">
        <f ca="1"/>
        <v>45783</v>
      </c>
      <c r="B339" s="6" vm="691">
        <f ca="1"/>
        <v>433.31</v>
      </c>
      <c r="C339" s="2">
        <f t="shared" ca="1" si="12"/>
        <v>-6.5786684335278952E-3</v>
      </c>
      <c r="Z339">
        <v>337</v>
      </c>
      <c r="AA339" s="8">
        <v>1.7824004187142278E-2</v>
      </c>
      <c r="AC339">
        <v>337</v>
      </c>
      <c r="AD339" s="8">
        <v>1.8192861858807065E-2</v>
      </c>
      <c r="AF339">
        <v>337</v>
      </c>
      <c r="AG339" s="8">
        <v>2.3013709770583268E-2</v>
      </c>
    </row>
    <row r="340" spans="1:33" ht="15" customHeight="1" x14ac:dyDescent="0.35">
      <c r="A340" vm="692">
        <f ca="1"/>
        <v>45784</v>
      </c>
      <c r="B340" s="6" vm="693">
        <f ca="1"/>
        <v>433.35</v>
      </c>
      <c r="C340" s="2">
        <f t="shared" ca="1" si="12"/>
        <v>9.2308402438027751E-5</v>
      </c>
      <c r="Z340">
        <v>338</v>
      </c>
      <c r="AA340" s="8">
        <v>3.7832444906139337E-2</v>
      </c>
      <c r="AC340">
        <v>338</v>
      </c>
      <c r="AD340" s="8">
        <v>3.0549285774889093E-2</v>
      </c>
      <c r="AF340">
        <v>338</v>
      </c>
      <c r="AG340" s="8">
        <v>2.3390530858579527E-2</v>
      </c>
    </row>
    <row r="341" spans="1:33" ht="15" customHeight="1" x14ac:dyDescent="0.35">
      <c r="A341" vm="694">
        <f ca="1"/>
        <v>45785</v>
      </c>
      <c r="B341" s="6" vm="695">
        <f ca="1"/>
        <v>438.17</v>
      </c>
      <c r="C341" s="2">
        <f t="shared" ca="1" si="12"/>
        <v>1.1061247347841878E-2</v>
      </c>
      <c r="Z341">
        <v>339</v>
      </c>
      <c r="AA341" s="8">
        <v>3.1250925638440785E-2</v>
      </c>
      <c r="AC341">
        <v>339</v>
      </c>
      <c r="AD341" s="8">
        <v>2.5819347222912445E-2</v>
      </c>
      <c r="AF341">
        <v>339</v>
      </c>
      <c r="AG341" s="8">
        <v>2.4845866762521721E-2</v>
      </c>
    </row>
    <row r="342" spans="1:33" ht="15" customHeight="1" x14ac:dyDescent="0.35">
      <c r="A342" vm="696">
        <f ca="1"/>
        <v>45786</v>
      </c>
      <c r="B342" s="6" vm="697">
        <f ca="1"/>
        <v>438.73</v>
      </c>
      <c r="C342" s="2">
        <f t="shared" ca="1" si="12"/>
        <v>1.2772267673115025E-3</v>
      </c>
      <c r="Z342">
        <v>340</v>
      </c>
      <c r="AA342" s="8">
        <v>2.0834984886056208E-2</v>
      </c>
      <c r="AC342">
        <v>340</v>
      </c>
      <c r="AD342" s="8">
        <v>3.4558411713547711E-2</v>
      </c>
      <c r="AF342">
        <v>340</v>
      </c>
      <c r="AG342" s="8">
        <v>2.2688114758049872E-2</v>
      </c>
    </row>
    <row r="343" spans="1:33" ht="15" customHeight="1" x14ac:dyDescent="0.35">
      <c r="A343" vm="698">
        <f ca="1"/>
        <v>45789</v>
      </c>
      <c r="B343" s="6" vm="699">
        <f ca="1"/>
        <v>449.26</v>
      </c>
      <c r="C343" s="2">
        <f t="shared" ca="1" si="12"/>
        <v>2.3717595041516697E-2</v>
      </c>
      <c r="Z343">
        <v>341</v>
      </c>
      <c r="AA343" s="8">
        <v>7.7772065791620576E-2</v>
      </c>
      <c r="AC343">
        <v>341</v>
      </c>
      <c r="AD343" s="8">
        <v>3.387200569538782E-2</v>
      </c>
      <c r="AF343">
        <v>341</v>
      </c>
      <c r="AG343" s="8">
        <v>2.3277111296163791E-2</v>
      </c>
    </row>
    <row r="344" spans="1:33" ht="15" customHeight="1" x14ac:dyDescent="0.35">
      <c r="A344" vm="700">
        <f ca="1"/>
        <v>45790</v>
      </c>
      <c r="B344" s="6" vm="701">
        <f ca="1"/>
        <v>449.14</v>
      </c>
      <c r="C344" s="2">
        <f t="shared" ca="1" si="12"/>
        <v>-2.6714158662880427E-4</v>
      </c>
      <c r="Z344">
        <v>342</v>
      </c>
      <c r="AA344" s="8">
        <v>3.1224021471511189E-2</v>
      </c>
      <c r="AC344">
        <v>342</v>
      </c>
      <c r="AD344" s="8">
        <v>3.6130980579073081E-2</v>
      </c>
      <c r="AF344">
        <v>342</v>
      </c>
      <c r="AG344" s="8">
        <v>2.2927859811325647E-2</v>
      </c>
    </row>
    <row r="345" spans="1:33" ht="15" customHeight="1" x14ac:dyDescent="0.35">
      <c r="A345" vm="702">
        <f ca="1"/>
        <v>45791</v>
      </c>
      <c r="B345" s="6" vm="703">
        <f ca="1"/>
        <v>452.94</v>
      </c>
      <c r="C345" s="2">
        <f t="shared" ca="1" si="12"/>
        <v>8.4250232291931838E-3</v>
      </c>
      <c r="Z345">
        <v>343</v>
      </c>
      <c r="AA345" s="8">
        <v>4.331956185473871E-2</v>
      </c>
      <c r="AC345">
        <v>343</v>
      </c>
      <c r="AD345" s="8">
        <v>2.6405121361143116E-2</v>
      </c>
      <c r="AF345">
        <v>343</v>
      </c>
      <c r="AG345" s="8">
        <v>2.319915927217191E-2</v>
      </c>
    </row>
    <row r="346" spans="1:33" ht="15" customHeight="1" x14ac:dyDescent="0.35">
      <c r="A346" vm="704">
        <f ca="1"/>
        <v>45792</v>
      </c>
      <c r="B346" s="6" vm="705">
        <f ca="1"/>
        <v>453.13</v>
      </c>
      <c r="C346" s="2">
        <f t="shared" ca="1" si="12"/>
        <v>4.1939365122980522E-4</v>
      </c>
      <c r="Z346">
        <v>344</v>
      </c>
      <c r="AA346" s="8">
        <v>3.0389721157449777E-2</v>
      </c>
      <c r="AC346">
        <v>344</v>
      </c>
      <c r="AD346" s="8">
        <v>2.9897292791255307E-2</v>
      </c>
      <c r="AF346">
        <v>344</v>
      </c>
      <c r="AG346" s="8">
        <v>2.2366851441697259E-2</v>
      </c>
    </row>
    <row r="347" spans="1:33" ht="15" customHeight="1" x14ac:dyDescent="0.35">
      <c r="A347" vm="706">
        <f ca="1"/>
        <v>45793</v>
      </c>
      <c r="B347" s="6" vm="707">
        <f ca="1"/>
        <v>454.27</v>
      </c>
      <c r="C347" s="2">
        <f t="shared" ca="1" si="12"/>
        <v>2.5126748948330183E-3</v>
      </c>
      <c r="Z347">
        <v>345</v>
      </c>
      <c r="AA347" s="8">
        <v>3.8285872379604576E-2</v>
      </c>
      <c r="AC347">
        <v>345</v>
      </c>
      <c r="AD347" s="8">
        <v>5.8838887029079329E-2</v>
      </c>
      <c r="AF347">
        <v>345</v>
      </c>
      <c r="AG347" s="8">
        <v>2.3854059960406227E-2</v>
      </c>
    </row>
    <row r="348" spans="1:33" ht="15" customHeight="1" x14ac:dyDescent="0.35">
      <c r="A348" vm="708">
        <f ca="1"/>
        <v>45796</v>
      </c>
      <c r="B348" s="6" vm="709">
        <f ca="1"/>
        <v>458.87</v>
      </c>
      <c r="C348" s="2">
        <f t="shared" ca="1" si="12"/>
        <v>1.0075210618417079E-2</v>
      </c>
      <c r="Z348">
        <v>346</v>
      </c>
      <c r="AA348" s="8">
        <v>2.4705778687113988E-2</v>
      </c>
      <c r="AC348">
        <v>346</v>
      </c>
      <c r="AD348" s="8">
        <v>4.1620385035698468E-2</v>
      </c>
      <c r="AF348">
        <v>346</v>
      </c>
      <c r="AG348" s="8">
        <v>2.2982942489084411E-2</v>
      </c>
    </row>
    <row r="349" spans="1:33" ht="15" customHeight="1" x14ac:dyDescent="0.35">
      <c r="A349" vm="710">
        <f ca="1"/>
        <v>45797</v>
      </c>
      <c r="B349" s="6" vm="711">
        <f ca="1"/>
        <v>458.17</v>
      </c>
      <c r="C349" s="2">
        <f t="shared" ca="1" si="12"/>
        <v>-1.5266512604802495E-3</v>
      </c>
      <c r="Z349">
        <v>347</v>
      </c>
      <c r="AA349" s="8">
        <v>4.4260513937794357E-2</v>
      </c>
      <c r="AC349">
        <v>347</v>
      </c>
      <c r="AD349" s="8">
        <v>3.5403767719435625E-2</v>
      </c>
      <c r="AF349">
        <v>347</v>
      </c>
      <c r="AG349" s="8">
        <v>2.2789703675006025E-2</v>
      </c>
    </row>
    <row r="350" spans="1:33" ht="15" customHeight="1" x14ac:dyDescent="0.35">
      <c r="A350" vm="712">
        <f ca="1"/>
        <v>45798</v>
      </c>
      <c r="B350" s="6" vm="713">
        <f ca="1"/>
        <v>452.57</v>
      </c>
      <c r="C350" s="2">
        <f t="shared" ca="1" si="12"/>
        <v>-1.2297846975223624E-2</v>
      </c>
      <c r="Z350">
        <v>348</v>
      </c>
      <c r="AA350" s="8">
        <v>1.3995750927140491E-2</v>
      </c>
      <c r="AC350">
        <v>348</v>
      </c>
      <c r="AD350" s="8">
        <v>3.3028235098753786E-2</v>
      </c>
      <c r="AF350">
        <v>348</v>
      </c>
      <c r="AG350" s="8">
        <v>2.2694762308011832E-2</v>
      </c>
    </row>
    <row r="351" spans="1:33" ht="15" customHeight="1" x14ac:dyDescent="0.35">
      <c r="A351" vm="714">
        <f ca="1"/>
        <v>45799</v>
      </c>
      <c r="B351" s="6" vm="715">
        <f ca="1"/>
        <v>454.86</v>
      </c>
      <c r="C351" s="2">
        <f t="shared" ca="1" si="12"/>
        <v>5.0472319879030173E-3</v>
      </c>
      <c r="Z351">
        <v>349</v>
      </c>
      <c r="AA351" s="8">
        <v>2.0158933729933819E-2</v>
      </c>
      <c r="AC351">
        <v>349</v>
      </c>
      <c r="AD351" s="8">
        <v>4.3512186120939565E-2</v>
      </c>
      <c r="AF351">
        <v>349</v>
      </c>
      <c r="AG351" s="8">
        <v>3.7653177263387988E-2</v>
      </c>
    </row>
    <row r="352" spans="1:33" ht="15" customHeight="1" x14ac:dyDescent="0.35">
      <c r="A352" vm="716">
        <f ca="1"/>
        <v>45800</v>
      </c>
      <c r="B352" s="6" vm="717">
        <f ca="1"/>
        <v>450.18</v>
      </c>
      <c r="C352" s="2">
        <f t="shared" ca="1" si="12"/>
        <v>-1.0342176510575202E-2</v>
      </c>
      <c r="Z352">
        <v>350</v>
      </c>
      <c r="AA352" s="8">
        <v>7.1730467553268798E-3</v>
      </c>
      <c r="AC352">
        <v>350</v>
      </c>
      <c r="AD352" s="8">
        <v>3.0833853429839964E-2</v>
      </c>
      <c r="AF352">
        <v>350</v>
      </c>
      <c r="AG352" s="8">
        <v>2.0361535409389332E-2</v>
      </c>
    </row>
    <row r="353" spans="1:33" ht="15" customHeight="1" x14ac:dyDescent="0.35">
      <c r="A353" vm="718">
        <f ca="1"/>
        <v>45804</v>
      </c>
      <c r="B353" s="6" vm="719">
        <f ca="1"/>
        <v>460.69</v>
      </c>
      <c r="C353" s="2">
        <f t="shared" ca="1" si="12"/>
        <v>2.3077862821184108E-2</v>
      </c>
      <c r="Z353">
        <v>351</v>
      </c>
      <c r="AA353" s="8">
        <v>3.0218260936456041E-2</v>
      </c>
      <c r="AC353">
        <v>351</v>
      </c>
      <c r="AD353" s="8">
        <v>5.5913628792604038E-2</v>
      </c>
      <c r="AF353">
        <v>351</v>
      </c>
      <c r="AG353" s="8">
        <v>2.3137459295971049E-2</v>
      </c>
    </row>
    <row r="354" spans="1:33" ht="15" customHeight="1" x14ac:dyDescent="0.35">
      <c r="A354" vm="720">
        <f ca="1"/>
        <v>45805</v>
      </c>
      <c r="B354" s="6" vm="721">
        <f ca="1"/>
        <v>457.36</v>
      </c>
      <c r="C354" s="2">
        <f t="shared" ca="1" si="12"/>
        <v>-7.254538651160704E-3</v>
      </c>
      <c r="Z354">
        <v>352</v>
      </c>
      <c r="AA354" s="8">
        <v>1.313335286248039E-2</v>
      </c>
      <c r="AC354">
        <v>352</v>
      </c>
      <c r="AD354" s="8">
        <v>2.6799751845982687E-2</v>
      </c>
      <c r="AF354">
        <v>352</v>
      </c>
      <c r="AG354" s="8">
        <v>2.3417497554885636E-2</v>
      </c>
    </row>
    <row r="355" spans="1:33" ht="15" customHeight="1" x14ac:dyDescent="0.35">
      <c r="A355" vm="722">
        <f ca="1"/>
        <v>45806</v>
      </c>
      <c r="B355" s="6" vm="723">
        <f ca="1"/>
        <v>458.68</v>
      </c>
      <c r="C355" s="2">
        <f t="shared" ca="1" si="12"/>
        <v>2.8819722143877146E-3</v>
      </c>
      <c r="Z355">
        <v>353</v>
      </c>
      <c r="AA355" s="8">
        <v>3.2724840545078071E-2</v>
      </c>
      <c r="AC355">
        <v>353</v>
      </c>
      <c r="AD355" s="8">
        <v>7.1662632249544264E-2</v>
      </c>
      <c r="AF355">
        <v>353</v>
      </c>
      <c r="AG355" s="8">
        <v>2.3202395535533691E-2</v>
      </c>
    </row>
    <row r="356" spans="1:33" ht="15" customHeight="1" x14ac:dyDescent="0.35">
      <c r="A356" vm="724">
        <f ca="1"/>
        <v>45807</v>
      </c>
      <c r="B356" s="6" vm="725">
        <f ca="1"/>
        <v>460.36</v>
      </c>
      <c r="C356" s="2">
        <f t="shared" ca="1" si="12"/>
        <v>3.6559929301866012E-3</v>
      </c>
      <c r="Z356">
        <v>354</v>
      </c>
      <c r="AA356" s="8">
        <v>1.7754061347764499E-2</v>
      </c>
      <c r="AC356">
        <v>354</v>
      </c>
      <c r="AD356" s="8">
        <v>2.2448194330103269E-2</v>
      </c>
      <c r="AF356">
        <v>354</v>
      </c>
      <c r="AG356" s="8">
        <v>2.1708010227869612E-2</v>
      </c>
    </row>
    <row r="357" spans="1:33" ht="15" customHeight="1" x14ac:dyDescent="0.35">
      <c r="A357" vm="726">
        <f ca="1"/>
        <v>45810</v>
      </c>
      <c r="B357" s="6" vm="727">
        <f ca="1"/>
        <v>461.97</v>
      </c>
      <c r="C357" s="2">
        <f t="shared" ca="1" si="12"/>
        <v>3.4911618081408594E-3</v>
      </c>
      <c r="Z357">
        <v>355</v>
      </c>
      <c r="AA357" s="8">
        <v>1.5335699921283637E-2</v>
      </c>
      <c r="AC357">
        <v>355</v>
      </c>
      <c r="AD357" s="8">
        <v>2.5748789871660727E-2</v>
      </c>
      <c r="AF357">
        <v>355</v>
      </c>
      <c r="AG357" s="8">
        <v>2.1736335845497778E-2</v>
      </c>
    </row>
    <row r="358" spans="1:33" ht="15" customHeight="1" x14ac:dyDescent="0.35">
      <c r="A358" vm="728">
        <f ca="1"/>
        <v>45811</v>
      </c>
      <c r="B358" s="6" vm="729">
        <f ca="1"/>
        <v>462.97</v>
      </c>
      <c r="C358" s="2">
        <f t="shared" ca="1" si="12"/>
        <v>2.1623032621133197E-3</v>
      </c>
      <c r="Z358">
        <v>356</v>
      </c>
      <c r="AA358" s="8">
        <v>2.2387254832829891E-2</v>
      </c>
      <c r="AC358">
        <v>356</v>
      </c>
      <c r="AD358" s="8">
        <v>2.2629251313949814E-2</v>
      </c>
      <c r="AF358">
        <v>356</v>
      </c>
      <c r="AG358" s="8">
        <v>2.3572493709242474E-2</v>
      </c>
    </row>
    <row r="359" spans="1:33" ht="15" customHeight="1" x14ac:dyDescent="0.35">
      <c r="A359" vm="730">
        <f ca="1"/>
        <v>45812</v>
      </c>
      <c r="B359" s="6" vm="731">
        <f ca="1"/>
        <v>463.87</v>
      </c>
      <c r="C359" s="2">
        <f t="shared" ca="1" si="12"/>
        <v>1.9420833862943819E-3</v>
      </c>
      <c r="Z359">
        <v>357</v>
      </c>
      <c r="AA359" s="8">
        <v>2.7605930665594313E-2</v>
      </c>
      <c r="AC359">
        <v>357</v>
      </c>
      <c r="AD359" s="8">
        <v>5.0726101883394034E-2</v>
      </c>
      <c r="AF359">
        <v>357</v>
      </c>
      <c r="AG359" s="8">
        <v>2.4558086455693282E-2</v>
      </c>
    </row>
    <row r="360" spans="1:33" ht="15" customHeight="1" x14ac:dyDescent="0.35">
      <c r="A360" vm="732">
        <f ca="1"/>
        <v>45813</v>
      </c>
      <c r="B360" s="6" vm="733">
        <f ca="1"/>
        <v>467.68</v>
      </c>
      <c r="C360" s="2">
        <f t="shared" ca="1" si="12"/>
        <v>8.1799608060967484E-3</v>
      </c>
      <c r="Z360">
        <v>358</v>
      </c>
      <c r="AA360" s="8">
        <v>2.8247298020838862E-2</v>
      </c>
      <c r="AC360">
        <v>358</v>
      </c>
      <c r="AD360" s="8">
        <v>2.6246224564077457E-2</v>
      </c>
      <c r="AF360">
        <v>358</v>
      </c>
      <c r="AG360" s="8">
        <v>2.3483332673252956E-2</v>
      </c>
    </row>
    <row r="361" spans="1:33" ht="15" customHeight="1" x14ac:dyDescent="0.35">
      <c r="A361" vm="734">
        <f ca="1"/>
        <v>45814</v>
      </c>
      <c r="B361" s="6" vm="735">
        <f ca="1"/>
        <v>470.38</v>
      </c>
      <c r="C361" s="2">
        <f t="shared" ca="1" si="12"/>
        <v>5.7565773108050828E-3</v>
      </c>
      <c r="Z361">
        <v>359</v>
      </c>
      <c r="AA361" s="8">
        <v>3.7731704332522556E-2</v>
      </c>
      <c r="AC361">
        <v>359</v>
      </c>
      <c r="AD361" s="8">
        <v>2.9354239521475724E-2</v>
      </c>
      <c r="AF361">
        <v>359</v>
      </c>
      <c r="AG361" s="8">
        <v>2.1113222847781239E-2</v>
      </c>
    </row>
    <row r="362" spans="1:33" ht="15" customHeight="1" x14ac:dyDescent="0.35">
      <c r="A362" vm="736">
        <f ca="1"/>
        <v>45817</v>
      </c>
      <c r="B362" s="6" vm="737">
        <f ca="1"/>
        <v>472.75</v>
      </c>
      <c r="C362" s="2">
        <f t="shared" ca="1" si="12"/>
        <v>5.0258288648259248E-3</v>
      </c>
      <c r="Z362">
        <v>360</v>
      </c>
      <c r="AA362" s="8">
        <v>1.8994526322819089E-2</v>
      </c>
      <c r="AC362">
        <v>360</v>
      </c>
      <c r="AD362" s="8">
        <v>1.7018655117044288E-2</v>
      </c>
      <c r="AF362">
        <v>360</v>
      </c>
      <c r="AG362" s="8">
        <v>2.3286842177797848E-2</v>
      </c>
    </row>
    <row r="363" spans="1:33" ht="15" customHeight="1" x14ac:dyDescent="0.35">
      <c r="A363" vm="738">
        <f ca="1"/>
        <v>45818</v>
      </c>
      <c r="B363" s="6" vm="739">
        <f ca="1"/>
        <v>470.92</v>
      </c>
      <c r="C363" s="2">
        <f t="shared" ca="1" si="12"/>
        <v>-3.878479328570745E-3</v>
      </c>
      <c r="Z363">
        <v>361</v>
      </c>
      <c r="AA363" s="8">
        <v>3.8440867926726484E-2</v>
      </c>
      <c r="AC363">
        <v>361</v>
      </c>
      <c r="AD363" s="8">
        <v>5.5886389448994649E-2</v>
      </c>
      <c r="AF363">
        <v>361</v>
      </c>
      <c r="AG363" s="8">
        <v>2.2758409360856588E-2</v>
      </c>
    </row>
    <row r="364" spans="1:33" ht="15" customHeight="1" x14ac:dyDescent="0.35">
      <c r="A364" vm="740">
        <f ca="1"/>
        <v>45819</v>
      </c>
      <c r="B364" s="6" vm="741">
        <f ca="1"/>
        <v>472.62</v>
      </c>
      <c r="C364" s="2">
        <f t="shared" ca="1" si="12"/>
        <v>3.6034547332919114E-3</v>
      </c>
      <c r="Z364">
        <v>362</v>
      </c>
      <c r="AA364" s="8">
        <v>3.0219884161883488E-2</v>
      </c>
      <c r="AC364">
        <v>362</v>
      </c>
      <c r="AD364" s="8">
        <v>6.22517367487464E-2</v>
      </c>
      <c r="AF364">
        <v>362</v>
      </c>
      <c r="AG364" s="8">
        <v>2.0882288043153167E-2</v>
      </c>
    </row>
    <row r="365" spans="1:33" ht="15" customHeight="1" x14ac:dyDescent="0.35">
      <c r="A365" vm="742">
        <f ca="1"/>
        <v>45820</v>
      </c>
      <c r="B365" s="6" vm="743">
        <f ca="1"/>
        <v>478.87</v>
      </c>
      <c r="C365" s="2">
        <f t="shared" ca="1" si="12"/>
        <v>1.3137478884932047E-2</v>
      </c>
      <c r="Z365">
        <v>363</v>
      </c>
      <c r="AA365" s="8">
        <v>4.8283988799623992E-2</v>
      </c>
      <c r="AC365">
        <v>363</v>
      </c>
      <c r="AD365" s="8">
        <v>3.119926411119426E-2</v>
      </c>
      <c r="AF365">
        <v>363</v>
      </c>
      <c r="AG365" s="8">
        <v>2.2822782172013178E-2</v>
      </c>
    </row>
    <row r="366" spans="1:33" ht="15" customHeight="1" x14ac:dyDescent="0.35">
      <c r="A366" vm="744">
        <f ca="1"/>
        <v>45821</v>
      </c>
      <c r="B366" s="6" vm="745">
        <f ca="1"/>
        <v>474.96</v>
      </c>
      <c r="C366" s="2">
        <f t="shared" ca="1" si="12"/>
        <v>-8.1985718657999838E-3</v>
      </c>
      <c r="Z366">
        <v>364</v>
      </c>
      <c r="AA366" s="8">
        <v>5.0543819622449804E-2</v>
      </c>
      <c r="AC366">
        <v>364</v>
      </c>
      <c r="AD366" s="8">
        <v>3.7960498296992169E-2</v>
      </c>
      <c r="AF366">
        <v>364</v>
      </c>
      <c r="AG366" s="8">
        <v>2.2915585776646298E-2</v>
      </c>
    </row>
    <row r="367" spans="1:33" ht="15" customHeight="1" x14ac:dyDescent="0.35">
      <c r="A367" vm="746">
        <f ca="1"/>
        <v>45824</v>
      </c>
      <c r="B367" s="6" vm="747">
        <f ca="1"/>
        <v>479.14</v>
      </c>
      <c r="C367" s="2">
        <f t="shared" ca="1" si="12"/>
        <v>8.7622403184230927E-3</v>
      </c>
      <c r="Z367">
        <v>365</v>
      </c>
      <c r="AA367" s="8">
        <v>1.982970135153022E-2</v>
      </c>
      <c r="AC367">
        <v>365</v>
      </c>
      <c r="AD367" s="8">
        <v>4.6097914532829957E-2</v>
      </c>
      <c r="AF367">
        <v>365</v>
      </c>
      <c r="AG367" s="8">
        <v>0.27627191045941107</v>
      </c>
    </row>
    <row r="368" spans="1:33" ht="15" customHeight="1" x14ac:dyDescent="0.35">
      <c r="A368" vm="748">
        <f ca="1"/>
        <v>45825</v>
      </c>
      <c r="B368" s="6" vm="749">
        <f ca="1"/>
        <v>478.04</v>
      </c>
      <c r="C368" s="2">
        <f t="shared" ca="1" si="12"/>
        <v>-2.2984192821627544E-3</v>
      </c>
      <c r="Z368">
        <v>366</v>
      </c>
      <c r="AA368" s="8">
        <v>4.9642880413908567E-2</v>
      </c>
      <c r="AC368">
        <v>366</v>
      </c>
      <c r="AD368" s="8">
        <v>3.2166147260535918E-2</v>
      </c>
      <c r="AF368">
        <v>366</v>
      </c>
      <c r="AG368" s="8">
        <v>2.3307506999169267E-2</v>
      </c>
    </row>
    <row r="369" spans="1:33" ht="15" customHeight="1" x14ac:dyDescent="0.35">
      <c r="A369" vm="750">
        <f ca="1"/>
        <v>45826</v>
      </c>
      <c r="B369" s="6" vm="751">
        <f ca="1"/>
        <v>480.24</v>
      </c>
      <c r="C369" s="2">
        <f t="shared" ca="1" si="12"/>
        <v>4.5915679449073828E-3</v>
      </c>
      <c r="Z369">
        <v>367</v>
      </c>
      <c r="AA369" s="8">
        <v>1.8012234229339119E-2</v>
      </c>
      <c r="AC369">
        <v>367</v>
      </c>
      <c r="AD369" s="8">
        <v>2.7421659908383897E-2</v>
      </c>
      <c r="AF369">
        <v>367</v>
      </c>
      <c r="AG369" s="8">
        <v>2.2288894684767677E-2</v>
      </c>
    </row>
    <row r="370" spans="1:33" ht="15" customHeight="1" x14ac:dyDescent="0.35">
      <c r="A370" vm="752">
        <f ca="1"/>
        <v>45828</v>
      </c>
      <c r="B370" s="6" vm="753">
        <f ca="1"/>
        <v>477.4</v>
      </c>
      <c r="C370" s="2">
        <f t="shared" ca="1" si="12"/>
        <v>-5.9312650388580251E-3</v>
      </c>
      <c r="Z370">
        <v>368</v>
      </c>
      <c r="AA370" s="8">
        <v>2.6542404574937756E-2</v>
      </c>
      <c r="AC370">
        <v>368</v>
      </c>
      <c r="AD370" s="8">
        <v>3.6648080794453967E-2</v>
      </c>
      <c r="AF370">
        <v>368</v>
      </c>
      <c r="AG370" s="8">
        <v>2.4042047652999179E-2</v>
      </c>
    </row>
    <row r="371" spans="1:33" ht="15" customHeight="1" x14ac:dyDescent="0.35">
      <c r="A371" vm="754">
        <f ca="1"/>
        <v>45831</v>
      </c>
      <c r="B371" s="6" vm="755">
        <f ca="1"/>
        <v>486</v>
      </c>
      <c r="C371" s="2">
        <f t="shared" ca="1" si="12"/>
        <v>1.7853909995764E-2</v>
      </c>
      <c r="Z371">
        <v>369</v>
      </c>
      <c r="AA371" s="8">
        <v>3.893518265136147E-2</v>
      </c>
      <c r="AC371">
        <v>369</v>
      </c>
      <c r="AD371" s="8">
        <v>3.2074260537310578E-2</v>
      </c>
      <c r="AF371">
        <v>369</v>
      </c>
      <c r="AG371" s="8">
        <v>2.3264618345883611E-2</v>
      </c>
    </row>
    <row r="372" spans="1:33" ht="15" customHeight="1" x14ac:dyDescent="0.35">
      <c r="A372" vm="756">
        <f ca="1"/>
        <v>45832</v>
      </c>
      <c r="B372" s="6" vm="757">
        <f ca="1"/>
        <v>490.11</v>
      </c>
      <c r="C372" s="2">
        <f t="shared" ca="1" si="12"/>
        <v>8.4212318060332414E-3</v>
      </c>
      <c r="Z372">
        <v>370</v>
      </c>
      <c r="AA372" s="8">
        <v>2.7540062629146361E-2</v>
      </c>
      <c r="AC372">
        <v>370</v>
      </c>
      <c r="AD372" s="8">
        <v>3.380953726700877E-2</v>
      </c>
      <c r="AF372">
        <v>370</v>
      </c>
      <c r="AG372" s="8">
        <v>2.3469008969455227E-2</v>
      </c>
    </row>
    <row r="373" spans="1:33" ht="15" customHeight="1" x14ac:dyDescent="0.35">
      <c r="A373" vm="758">
        <f ca="1"/>
        <v>45833</v>
      </c>
      <c r="B373" s="6" vm="759">
        <f ca="1"/>
        <v>492.27</v>
      </c>
      <c r="C373" s="2">
        <f t="shared" ca="1" si="12"/>
        <v>4.39749074864165E-3</v>
      </c>
      <c r="Z373">
        <v>371</v>
      </c>
      <c r="AA373" s="8">
        <v>7.2329748007471079E-2</v>
      </c>
      <c r="AC373">
        <v>371</v>
      </c>
      <c r="AD373" s="8">
        <v>5.2174832989669982E-2</v>
      </c>
      <c r="AF373">
        <v>371</v>
      </c>
      <c r="AG373" s="8">
        <v>2.321200911534067E-2</v>
      </c>
    </row>
    <row r="374" spans="1:33" ht="15" customHeight="1" x14ac:dyDescent="0.35">
      <c r="A374" vm="760">
        <f ca="1"/>
        <v>45834</v>
      </c>
      <c r="B374" s="6" vm="761">
        <f ca="1"/>
        <v>497.45</v>
      </c>
      <c r="C374" s="2">
        <f t="shared" ca="1" si="12"/>
        <v>1.0467702580200092E-2</v>
      </c>
      <c r="Z374">
        <v>372</v>
      </c>
      <c r="AA374" s="8">
        <v>2.7234545370182894E-2</v>
      </c>
      <c r="AC374">
        <v>372</v>
      </c>
      <c r="AD374" s="8">
        <v>4.8740033658948127E-2</v>
      </c>
      <c r="AF374">
        <v>372</v>
      </c>
      <c r="AG374" s="8">
        <v>2.2536432524893558E-2</v>
      </c>
    </row>
    <row r="375" spans="1:33" ht="15" customHeight="1" x14ac:dyDescent="0.35">
      <c r="A375" vm="762">
        <f ca="1"/>
        <v>45835</v>
      </c>
      <c r="B375" s="6" vm="763">
        <f ca="1"/>
        <v>495.94</v>
      </c>
      <c r="C375" s="2">
        <f t="shared" ca="1" si="12"/>
        <v>-3.0400973695640823E-3</v>
      </c>
      <c r="Z375">
        <v>373</v>
      </c>
      <c r="AA375" s="8">
        <v>4.2930468536478597E-2</v>
      </c>
      <c r="AC375">
        <v>373</v>
      </c>
      <c r="AD375" s="8">
        <v>2.7063449006439366E-2</v>
      </c>
      <c r="AF375">
        <v>373</v>
      </c>
      <c r="AG375" s="8">
        <v>2.2831068813961634E-2</v>
      </c>
    </row>
    <row r="376" spans="1:33" ht="15" customHeight="1" x14ac:dyDescent="0.35">
      <c r="A376" vm="764">
        <f ca="1"/>
        <v>45838</v>
      </c>
      <c r="B376" s="6" vm="765">
        <f ca="1"/>
        <v>497.41</v>
      </c>
      <c r="C376" s="2">
        <f t="shared" ca="1" si="12"/>
        <v>2.9596840450329376E-3</v>
      </c>
      <c r="Z376">
        <v>374</v>
      </c>
      <c r="AA376" s="8">
        <v>7.4571783934418018E-2</v>
      </c>
      <c r="AC376">
        <v>374</v>
      </c>
      <c r="AD376" s="8">
        <v>2.6649918948504988E-2</v>
      </c>
      <c r="AF376">
        <v>374</v>
      </c>
      <c r="AG376" s="8">
        <v>3.3044886770593557E-2</v>
      </c>
    </row>
    <row r="377" spans="1:33" ht="15" customHeight="1" x14ac:dyDescent="0.35">
      <c r="A377" vm="766">
        <f ca="1"/>
        <v>45839</v>
      </c>
      <c r="B377" s="6" vm="767">
        <f ca="1"/>
        <v>492.05</v>
      </c>
      <c r="C377" s="2">
        <f t="shared" ca="1" si="12"/>
        <v>-1.0834298365843018E-2</v>
      </c>
      <c r="Z377">
        <v>375</v>
      </c>
      <c r="AA377" s="8">
        <v>1.4321255422248708E-2</v>
      </c>
      <c r="AC377">
        <v>375</v>
      </c>
      <c r="AD377" s="8">
        <v>2.0305624747212987E-2</v>
      </c>
      <c r="AF377">
        <v>375</v>
      </c>
      <c r="AG377" s="8">
        <v>2.2959193933818314E-2</v>
      </c>
    </row>
    <row r="378" spans="1:33" ht="15" customHeight="1" x14ac:dyDescent="0.35">
      <c r="A378" vm="768">
        <f ca="1"/>
        <v>45840</v>
      </c>
      <c r="B378" s="6" vm="769">
        <f ca="1"/>
        <v>491.09</v>
      </c>
      <c r="C378" s="2">
        <f t="shared" ca="1" si="12"/>
        <v>-1.9529269587524277E-3</v>
      </c>
      <c r="Z378">
        <v>376</v>
      </c>
      <c r="AA378" s="8">
        <v>3.781679139411398E-2</v>
      </c>
      <c r="AC378">
        <v>376</v>
      </c>
      <c r="AD378" s="8">
        <v>2.7282395942053853E-2</v>
      </c>
      <c r="AF378">
        <v>376</v>
      </c>
      <c r="AG378" s="8">
        <v>2.2960820800396135E-2</v>
      </c>
    </row>
    <row r="379" spans="1:33" ht="15" customHeight="1" x14ac:dyDescent="0.35">
      <c r="A379" vm="770">
        <f ca="1"/>
        <v>45841</v>
      </c>
      <c r="B379" s="6" vm="771">
        <f ca="1"/>
        <v>498.84</v>
      </c>
      <c r="C379" s="2">
        <f t="shared" ca="1" si="12"/>
        <v>1.5657992666304153E-2</v>
      </c>
      <c r="Z379">
        <v>377</v>
      </c>
      <c r="AA379" s="8">
        <v>2.51493834731902E-2</v>
      </c>
      <c r="AC379">
        <v>377</v>
      </c>
      <c r="AD379" s="8">
        <v>3.1005797694275365E-2</v>
      </c>
      <c r="AF379">
        <v>377</v>
      </c>
      <c r="AG379" s="8">
        <v>2.3879931433187406E-2</v>
      </c>
    </row>
    <row r="380" spans="1:33" ht="15" customHeight="1" x14ac:dyDescent="0.35">
      <c r="A380" vm="772">
        <f ca="1"/>
        <v>45845</v>
      </c>
      <c r="B380" s="6" vm="773">
        <f ca="1"/>
        <v>497.72</v>
      </c>
      <c r="C380" s="2">
        <f t="shared" ca="1" si="12"/>
        <v>-2.2477331451158352E-3</v>
      </c>
      <c r="Z380">
        <v>378</v>
      </c>
      <c r="AA380" s="8">
        <v>7.938903149349448E-2</v>
      </c>
      <c r="AC380">
        <v>378</v>
      </c>
      <c r="AD380" s="8">
        <v>6.0506383043084838E-2</v>
      </c>
      <c r="AF380">
        <v>378</v>
      </c>
      <c r="AG380" s="8">
        <v>2.2722897958533439E-2</v>
      </c>
    </row>
    <row r="381" spans="1:33" ht="15" customHeight="1" x14ac:dyDescent="0.35">
      <c r="A381" vm="774">
        <f ca="1"/>
        <v>45846</v>
      </c>
      <c r="B381" s="6" vm="775">
        <f ca="1"/>
        <v>496.62</v>
      </c>
      <c r="C381" s="2">
        <f t="shared" ca="1" si="12"/>
        <v>-2.2125237820710877E-3</v>
      </c>
      <c r="Z381">
        <v>379</v>
      </c>
      <c r="AA381" s="8">
        <v>2.7533907001815655E-2</v>
      </c>
      <c r="AC381">
        <v>379</v>
      </c>
      <c r="AD381" s="8">
        <v>4.7133639622266042E-2</v>
      </c>
      <c r="AF381">
        <v>379</v>
      </c>
      <c r="AG381" s="8">
        <v>2.2823822778911651E-2</v>
      </c>
    </row>
    <row r="382" spans="1:33" ht="15" customHeight="1" x14ac:dyDescent="0.35">
      <c r="A382" vm="776">
        <f ca="1"/>
        <v>45847</v>
      </c>
      <c r="B382" s="6" vm="777">
        <f ca="1"/>
        <v>503.51</v>
      </c>
      <c r="C382" s="2">
        <f t="shared" ca="1" si="12"/>
        <v>1.3778426809218635E-2</v>
      </c>
      <c r="Z382">
        <v>380</v>
      </c>
      <c r="AA382" s="8">
        <v>8.8115795548629736E-2</v>
      </c>
      <c r="AC382">
        <v>380</v>
      </c>
      <c r="AD382" s="8">
        <v>4.2683841056383724E-2</v>
      </c>
      <c r="AF382">
        <v>380</v>
      </c>
      <c r="AG382" s="8">
        <v>2.3080026789405985E-2</v>
      </c>
    </row>
    <row r="383" spans="1:33" ht="15" customHeight="1" x14ac:dyDescent="0.35">
      <c r="A383" vm="778">
        <f ca="1"/>
        <v>45848</v>
      </c>
      <c r="B383" s="6" vm="779">
        <f ca="1"/>
        <v>501.48</v>
      </c>
      <c r="C383" s="2">
        <f t="shared" ca="1" si="12"/>
        <v>-4.0398466867537551E-3</v>
      </c>
      <c r="Z383">
        <v>381</v>
      </c>
      <c r="AA383" s="8">
        <v>8.1962737173059935E-2</v>
      </c>
      <c r="AC383">
        <v>381</v>
      </c>
      <c r="AD383" s="8">
        <v>4.8352519034605718E-2</v>
      </c>
      <c r="AF383">
        <v>381</v>
      </c>
      <c r="AG383" s="8">
        <v>2.3545649999790162E-2</v>
      </c>
    </row>
    <row r="384" spans="1:33" ht="15" customHeight="1" x14ac:dyDescent="0.35">
      <c r="A384" vm="780">
        <f ca="1"/>
        <v>45849</v>
      </c>
      <c r="B384" s="6" vm="781">
        <f ca="1"/>
        <v>503.32</v>
      </c>
      <c r="C384" s="2">
        <f t="shared" ca="1" si="12"/>
        <v>3.662424475942728E-3</v>
      </c>
      <c r="Z384">
        <v>382</v>
      </c>
      <c r="AA384" s="8">
        <v>3.9639941849773597E-2</v>
      </c>
      <c r="AC384">
        <v>382</v>
      </c>
      <c r="AD384" s="8">
        <v>2.2951620127063418E-2</v>
      </c>
      <c r="AF384">
        <v>382</v>
      </c>
      <c r="AG384" s="8">
        <v>2.2932593798055897E-2</v>
      </c>
    </row>
    <row r="385" spans="1:33" ht="15" customHeight="1" x14ac:dyDescent="0.35">
      <c r="A385" vm="782">
        <f ca="1"/>
        <v>45852</v>
      </c>
      <c r="B385" s="6" vm="783">
        <f ca="1"/>
        <v>503.02</v>
      </c>
      <c r="C385" s="2">
        <f t="shared" ca="1" si="12"/>
        <v>-5.9621998308118768E-4</v>
      </c>
      <c r="Z385">
        <v>383</v>
      </c>
      <c r="AA385" s="8">
        <v>2.3024065230603911E-2</v>
      </c>
      <c r="AC385">
        <v>383</v>
      </c>
      <c r="AD385" s="8">
        <v>2.8267570676395425E-2</v>
      </c>
      <c r="AF385">
        <v>383</v>
      </c>
      <c r="AG385" s="8">
        <v>2.4138141854886996E-2</v>
      </c>
    </row>
    <row r="386" spans="1:33" ht="15" customHeight="1" x14ac:dyDescent="0.35">
      <c r="A386" vm="784">
        <f ca="1"/>
        <v>45853</v>
      </c>
      <c r="B386" s="6" vm="785">
        <f ca="1"/>
        <v>505.82</v>
      </c>
      <c r="C386" s="2">
        <f t="shared" ca="1" si="12"/>
        <v>5.5509440341215939E-3</v>
      </c>
      <c r="Z386">
        <v>384</v>
      </c>
      <c r="AA386" s="8">
        <v>2.5302826615387165E-2</v>
      </c>
      <c r="AC386">
        <v>384</v>
      </c>
      <c r="AD386" s="8">
        <v>7.9052476593390208E-2</v>
      </c>
      <c r="AF386">
        <v>384</v>
      </c>
      <c r="AG386" s="8">
        <v>2.3043238301656735E-2</v>
      </c>
    </row>
    <row r="387" spans="1:33" ht="15" customHeight="1" x14ac:dyDescent="0.35">
      <c r="A387" vm="786">
        <f ca="1"/>
        <v>45854</v>
      </c>
      <c r="B387" s="6" vm="787">
        <f ca="1"/>
        <v>505.62</v>
      </c>
      <c r="C387" s="2">
        <f t="shared" ca="1" si="12"/>
        <v>-3.9547576249049837E-4</v>
      </c>
      <c r="Z387">
        <v>385</v>
      </c>
      <c r="AA387" s="8">
        <v>2.3791856800984904E-2</v>
      </c>
      <c r="AC387">
        <v>385</v>
      </c>
      <c r="AD387" s="8">
        <v>5.8249306414453923E-2</v>
      </c>
      <c r="AF387">
        <v>385</v>
      </c>
      <c r="AG387" s="8">
        <v>2.2760295634459506E-2</v>
      </c>
    </row>
    <row r="388" spans="1:33" ht="15" customHeight="1" x14ac:dyDescent="0.35">
      <c r="A388" vm="788">
        <f ca="1"/>
        <v>45855</v>
      </c>
      <c r="B388" s="6" vm="789">
        <f ca="1"/>
        <v>511.7</v>
      </c>
      <c r="C388" s="2">
        <f t="shared" ca="1" si="12"/>
        <v>1.1953116798728996E-2</v>
      </c>
      <c r="Z388">
        <v>386</v>
      </c>
      <c r="AA388" s="8">
        <v>6.1125923153614779E-2</v>
      </c>
      <c r="AC388">
        <v>386</v>
      </c>
      <c r="AD388" s="8">
        <v>2.3808292532029627E-2</v>
      </c>
      <c r="AF388">
        <v>386</v>
      </c>
      <c r="AG388" s="8">
        <v>2.3188266603451937E-2</v>
      </c>
    </row>
    <row r="389" spans="1:33" ht="15" customHeight="1" x14ac:dyDescent="0.35">
      <c r="A389" vm="790">
        <f ca="1"/>
        <v>45856</v>
      </c>
      <c r="B389" s="6" vm="791">
        <f ca="1"/>
        <v>510.05</v>
      </c>
      <c r="C389" s="2">
        <f t="shared" ca="1" si="12"/>
        <v>-3.2297556825181557E-3</v>
      </c>
      <c r="Z389">
        <v>387</v>
      </c>
      <c r="AA389" s="8">
        <v>4.187615603182037E-2</v>
      </c>
      <c r="AC389">
        <v>387</v>
      </c>
      <c r="AD389" s="8">
        <v>6.5743488418732982E-2</v>
      </c>
      <c r="AF389">
        <v>387</v>
      </c>
      <c r="AG389" s="8">
        <v>2.3748421348703384E-2</v>
      </c>
    </row>
    <row r="390" spans="1:33" ht="15" customHeight="1" x14ac:dyDescent="0.35">
      <c r="A390" vm="792">
        <f ca="1"/>
        <v>45859</v>
      </c>
      <c r="B390" s="6" vm="793">
        <f ca="1"/>
        <v>510.06</v>
      </c>
      <c r="C390" s="2">
        <f t="shared" ref="C390:C453" ca="1" si="13">IFERROR(LN(B390/B389),C389)</f>
        <v>1.9605728794484891E-5</v>
      </c>
      <c r="Z390">
        <v>388</v>
      </c>
      <c r="AA390" s="8">
        <v>3.4393242352263778E-2</v>
      </c>
      <c r="AC390">
        <v>388</v>
      </c>
      <c r="AD390" s="8">
        <v>3.5752744421139543E-2</v>
      </c>
      <c r="AF390">
        <v>388</v>
      </c>
      <c r="AG390" s="8">
        <v>2.3900592743591745E-2</v>
      </c>
    </row>
    <row r="391" spans="1:33" ht="15" customHeight="1" x14ac:dyDescent="0.35">
      <c r="A391" vm="794">
        <f ca="1"/>
        <v>45860</v>
      </c>
      <c r="B391" s="6" vm="795">
        <f ca="1"/>
        <v>505.27</v>
      </c>
      <c r="C391" s="2">
        <f t="shared" ca="1" si="13"/>
        <v>-9.4354259928562771E-3</v>
      </c>
      <c r="Z391">
        <v>389</v>
      </c>
      <c r="AA391" s="8">
        <v>3.7640733626755088E-2</v>
      </c>
      <c r="AC391">
        <v>389</v>
      </c>
      <c r="AD391" s="8">
        <v>2.3244230740235881E-2</v>
      </c>
      <c r="AF391">
        <v>389</v>
      </c>
      <c r="AG391" s="8">
        <v>2.3637163989224788E-2</v>
      </c>
    </row>
    <row r="392" spans="1:33" ht="15" customHeight="1" x14ac:dyDescent="0.35">
      <c r="A392" vm="796">
        <f ca="1"/>
        <v>45861</v>
      </c>
      <c r="B392" s="6" vm="797">
        <f ca="1"/>
        <v>505.87</v>
      </c>
      <c r="C392" s="2">
        <f t="shared" ca="1" si="13"/>
        <v>1.1867794181265449E-3</v>
      </c>
      <c r="Z392">
        <v>390</v>
      </c>
      <c r="AA392" s="8">
        <v>4.3478202429253064E-2</v>
      </c>
      <c r="AC392">
        <v>390</v>
      </c>
      <c r="AD392" s="8">
        <v>2.1748698996427399E-2</v>
      </c>
      <c r="AF392">
        <v>390</v>
      </c>
      <c r="AG392" s="8">
        <v>2.8060427245959526E-2</v>
      </c>
    </row>
    <row r="393" spans="1:33" ht="15" customHeight="1" x14ac:dyDescent="0.35">
      <c r="A393" vm="798">
        <f ca="1"/>
        <v>45862</v>
      </c>
      <c r="B393" s="6" vm="799">
        <f ca="1"/>
        <v>510.88</v>
      </c>
      <c r="C393" s="2">
        <f t="shared" ca="1" si="13"/>
        <v>9.8550096838789375E-3</v>
      </c>
      <c r="Z393">
        <v>391</v>
      </c>
      <c r="AA393" s="8">
        <v>2.4044603766563158E-2</v>
      </c>
      <c r="AC393">
        <v>391</v>
      </c>
      <c r="AD393" s="8">
        <v>2.9801227164907386E-2</v>
      </c>
      <c r="AF393">
        <v>391</v>
      </c>
      <c r="AG393" s="8">
        <v>2.3851983068916574E-2</v>
      </c>
    </row>
    <row r="394" spans="1:33" ht="15" customHeight="1" x14ac:dyDescent="0.35">
      <c r="A394" vm="800">
        <f ca="1"/>
        <v>45863</v>
      </c>
      <c r="B394" s="6" vm="801">
        <f ca="1"/>
        <v>513.71</v>
      </c>
      <c r="C394" s="2">
        <f t="shared" ca="1" si="13"/>
        <v>5.5241749320338734E-3</v>
      </c>
      <c r="Z394">
        <v>392</v>
      </c>
      <c r="AA394" s="8">
        <v>1.7474925382616642E-2</v>
      </c>
      <c r="AC394">
        <v>392</v>
      </c>
      <c r="AD394" s="8">
        <v>2.4594811581960307E-2</v>
      </c>
      <c r="AF394">
        <v>392</v>
      </c>
      <c r="AG394" s="8">
        <v>2.3079551778816151E-2</v>
      </c>
    </row>
    <row r="395" spans="1:33" ht="15" customHeight="1" x14ac:dyDescent="0.35">
      <c r="A395" vm="802">
        <f ca="1"/>
        <v>45866</v>
      </c>
      <c r="B395" s="6" vm="803">
        <f ca="1"/>
        <v>512.5</v>
      </c>
      <c r="C395" s="2">
        <f t="shared" ca="1" si="13"/>
        <v>-2.3581928859426281E-3</v>
      </c>
      <c r="Z395">
        <v>393</v>
      </c>
      <c r="AA395" s="8">
        <v>2.328847853204043E-2</v>
      </c>
      <c r="AC395">
        <v>393</v>
      </c>
      <c r="AD395" s="8">
        <v>1.8953201437034124E-2</v>
      </c>
      <c r="AF395">
        <v>393</v>
      </c>
      <c r="AG395" s="8">
        <v>2.3287031836111038E-2</v>
      </c>
    </row>
    <row r="396" spans="1:33" ht="15" customHeight="1" x14ac:dyDescent="0.35">
      <c r="A396" vm="804">
        <f ca="1"/>
        <v>45867</v>
      </c>
      <c r="B396" s="6" vm="805">
        <f ca="1"/>
        <v>512.57000000000005</v>
      </c>
      <c r="C396" s="2">
        <f t="shared" ca="1" si="13"/>
        <v>1.3657603892189231E-4</v>
      </c>
      <c r="Z396">
        <v>394</v>
      </c>
      <c r="AA396" s="8">
        <v>3.5528970180167596E-2</v>
      </c>
      <c r="AC396">
        <v>394</v>
      </c>
      <c r="AD396" s="8">
        <v>4.1887329552063639E-2</v>
      </c>
      <c r="AF396">
        <v>394</v>
      </c>
      <c r="AG396" s="8">
        <v>2.2950389253785178E-2</v>
      </c>
    </row>
    <row r="397" spans="1:33" ht="15" customHeight="1" x14ac:dyDescent="0.35">
      <c r="A397" vm="806">
        <f ca="1"/>
        <v>45868</v>
      </c>
      <c r="B397" s="6" vm="807">
        <f ca="1"/>
        <v>513.24</v>
      </c>
      <c r="C397" s="2">
        <f t="shared" ca="1" si="13"/>
        <v>1.306284975332303E-3</v>
      </c>
      <c r="Z397">
        <v>395</v>
      </c>
      <c r="AA397" s="8">
        <v>2.4061827936380668E-2</v>
      </c>
      <c r="AC397">
        <v>395</v>
      </c>
      <c r="AD397" s="8">
        <v>3.8248292785921893E-2</v>
      </c>
      <c r="AF397">
        <v>395</v>
      </c>
      <c r="AG397" s="8">
        <v>2.3340697796518425E-2</v>
      </c>
    </row>
    <row r="398" spans="1:33" ht="15" customHeight="1" x14ac:dyDescent="0.35">
      <c r="A398" vm="808">
        <f ca="1"/>
        <v>45869</v>
      </c>
      <c r="B398" s="6" vm="809">
        <f ca="1"/>
        <v>533.5</v>
      </c>
      <c r="C398" s="2">
        <f t="shared" ca="1" si="13"/>
        <v>3.8715498714990526E-2</v>
      </c>
      <c r="Z398">
        <v>396</v>
      </c>
      <c r="AA398" s="8">
        <v>1.7187128661548628E-2</v>
      </c>
      <c r="AC398">
        <v>396</v>
      </c>
      <c r="AD398" s="8">
        <v>4.1237479439684817E-2</v>
      </c>
      <c r="AF398">
        <v>396</v>
      </c>
      <c r="AG398" s="8">
        <v>2.3277480983665163E-2</v>
      </c>
    </row>
    <row r="399" spans="1:33" ht="15" customHeight="1" x14ac:dyDescent="0.35">
      <c r="A399" vm="810">
        <f ca="1"/>
        <v>45870</v>
      </c>
      <c r="B399" s="6" vm="811">
        <f ca="1"/>
        <v>524.11</v>
      </c>
      <c r="C399" s="2">
        <f t="shared" ca="1" si="13"/>
        <v>-1.7757484787532907E-2</v>
      </c>
      <c r="Z399">
        <v>397</v>
      </c>
      <c r="AA399" s="8">
        <v>1.2361640235211031E-2</v>
      </c>
      <c r="AC399">
        <v>397</v>
      </c>
      <c r="AD399" s="8">
        <v>4.3777521253659531E-2</v>
      </c>
      <c r="AF399">
        <v>397</v>
      </c>
      <c r="AG399" s="8">
        <v>2.3950130121965816E-2</v>
      </c>
    </row>
    <row r="400" spans="1:33" ht="15" customHeight="1" x14ac:dyDescent="0.35">
      <c r="A400" vm="812">
        <f ca="1"/>
        <v>45873</v>
      </c>
      <c r="B400" s="6" vm="813">
        <f ca="1"/>
        <v>535.64</v>
      </c>
      <c r="C400" s="2">
        <f t="shared" ca="1" si="13"/>
        <v>2.1760707673090265E-2</v>
      </c>
      <c r="Z400">
        <v>398</v>
      </c>
      <c r="AA400" s="8">
        <v>1.3334196872950311E-2</v>
      </c>
      <c r="AC400">
        <v>398</v>
      </c>
      <c r="AD400" s="8">
        <v>3.0495629948010326E-2</v>
      </c>
      <c r="AF400">
        <v>398</v>
      </c>
      <c r="AG400" s="8">
        <v>2.340070943358202E-2</v>
      </c>
    </row>
    <row r="401" spans="1:33" ht="15" customHeight="1" x14ac:dyDescent="0.35">
      <c r="A401" vm="814">
        <f ca="1"/>
        <v>45874</v>
      </c>
      <c r="B401" s="6" vm="815">
        <f ca="1"/>
        <v>527.75</v>
      </c>
      <c r="C401" s="2">
        <f t="shared" ca="1" si="13"/>
        <v>-1.4839606898935459E-2</v>
      </c>
      <c r="Z401">
        <v>399</v>
      </c>
      <c r="AA401" s="8">
        <v>4.7391742262466501E-2</v>
      </c>
      <c r="AC401">
        <v>399</v>
      </c>
      <c r="AD401" s="8">
        <v>2.8344585772448774E-2</v>
      </c>
      <c r="AF401">
        <v>399</v>
      </c>
      <c r="AG401" s="8">
        <v>2.3219651630330438E-2</v>
      </c>
    </row>
    <row r="402" spans="1:33" ht="15" customHeight="1" x14ac:dyDescent="0.35">
      <c r="A402" vm="816">
        <f ca="1"/>
        <v>45875</v>
      </c>
      <c r="B402" s="6" vm="817">
        <f ca="1"/>
        <v>524.94000000000005</v>
      </c>
      <c r="C402" s="2">
        <f t="shared" ca="1" si="13"/>
        <v>-5.3387163822017046E-3</v>
      </c>
      <c r="Z402">
        <v>400</v>
      </c>
      <c r="AA402" s="8">
        <v>2.6932354398172292E-2</v>
      </c>
      <c r="AC402">
        <v>400</v>
      </c>
      <c r="AD402" s="8">
        <v>2.1715737617287931E-2</v>
      </c>
      <c r="AF402">
        <v>400</v>
      </c>
      <c r="AG402" s="8">
        <v>2.2752927714894344E-2</v>
      </c>
    </row>
    <row r="403" spans="1:33" ht="15" customHeight="1" x14ac:dyDescent="0.35">
      <c r="A403" vm="818">
        <f ca="1"/>
        <v>45876</v>
      </c>
      <c r="B403" s="6" vm="819">
        <f ca="1"/>
        <v>520.84</v>
      </c>
      <c r="C403" s="2">
        <f t="shared" ca="1" si="13"/>
        <v>-7.8410774857006864E-3</v>
      </c>
      <c r="Z403">
        <v>401</v>
      </c>
      <c r="AA403" s="8">
        <v>4.0295257519096128E-2</v>
      </c>
      <c r="AC403">
        <v>401</v>
      </c>
      <c r="AD403" s="8">
        <v>5.5733438222233173E-2</v>
      </c>
      <c r="AF403">
        <v>401</v>
      </c>
      <c r="AG403" s="8">
        <v>2.2011780534615433E-2</v>
      </c>
    </row>
    <row r="404" spans="1:33" ht="15" customHeight="1" x14ac:dyDescent="0.35">
      <c r="A404" vm="820">
        <f ca="1"/>
        <v>45877</v>
      </c>
      <c r="B404" s="6" vm="821">
        <f ca="1"/>
        <v>522.04</v>
      </c>
      <c r="C404" s="2">
        <f t="shared" ca="1" si="13"/>
        <v>2.3013204387992716E-3</v>
      </c>
      <c r="Z404">
        <v>402</v>
      </c>
      <c r="AA404" s="8">
        <v>2.1662939285143536E-2</v>
      </c>
      <c r="AC404">
        <v>402</v>
      </c>
      <c r="AD404" s="8">
        <v>1.7956948744978028E-2</v>
      </c>
      <c r="AF404">
        <v>402</v>
      </c>
      <c r="AG404" s="8">
        <v>2.358201727898274E-2</v>
      </c>
    </row>
    <row r="405" spans="1:33" ht="15" customHeight="1" x14ac:dyDescent="0.35">
      <c r="A405" vm="822">
        <f ca="1"/>
        <v>45880</v>
      </c>
      <c r="B405" s="6" vm="823">
        <f ca="1"/>
        <v>521.77</v>
      </c>
      <c r="C405" s="2">
        <f t="shared" ca="1" si="13"/>
        <v>-5.1733554195073847E-4</v>
      </c>
      <c r="Z405">
        <v>403</v>
      </c>
      <c r="AA405" s="8">
        <v>3.06596951931285E-2</v>
      </c>
      <c r="AC405">
        <v>403</v>
      </c>
      <c r="AD405" s="8">
        <v>5.1024947991039876E-2</v>
      </c>
      <c r="AF405">
        <v>403</v>
      </c>
      <c r="AG405" s="8">
        <v>2.3101141816537361E-2</v>
      </c>
    </row>
    <row r="406" spans="1:33" ht="15" customHeight="1" x14ac:dyDescent="0.35">
      <c r="A406" vm="824">
        <f ca="1"/>
        <v>45881</v>
      </c>
      <c r="B406" s="6" vm="825">
        <f ca="1"/>
        <v>529.24</v>
      </c>
      <c r="C406" s="2">
        <f t="shared" ca="1" si="13"/>
        <v>1.4215137416834164E-2</v>
      </c>
      <c r="Z406">
        <v>404</v>
      </c>
      <c r="AA406" s="8">
        <v>5.4249042438314056E-2</v>
      </c>
      <c r="AC406">
        <v>404</v>
      </c>
      <c r="AD406" s="8">
        <v>3.25625785309758E-2</v>
      </c>
      <c r="AF406">
        <v>404</v>
      </c>
      <c r="AG406" s="8">
        <v>2.3210567418297242E-2</v>
      </c>
    </row>
    <row r="407" spans="1:33" ht="15" customHeight="1" x14ac:dyDescent="0.35">
      <c r="A407" vm="826">
        <f ca="1"/>
        <v>45882</v>
      </c>
      <c r="B407" s="6" vm="827">
        <f ca="1"/>
        <v>520.58000000000004</v>
      </c>
      <c r="C407" s="2">
        <f t="shared" ca="1" si="13"/>
        <v>-1.6498440562615617E-2</v>
      </c>
      <c r="Z407">
        <v>405</v>
      </c>
      <c r="AA407" s="8">
        <v>2.2684819450661756E-2</v>
      </c>
      <c r="AC407">
        <v>405</v>
      </c>
      <c r="AD407" s="8">
        <v>5.7914250648321605E-2</v>
      </c>
      <c r="AF407">
        <v>405</v>
      </c>
      <c r="AG407" s="8">
        <v>2.3048585040243222E-2</v>
      </c>
    </row>
    <row r="408" spans="1:33" ht="15" customHeight="1" x14ac:dyDescent="0.35">
      <c r="A408" vm="828">
        <f ca="1"/>
        <v>45883</v>
      </c>
      <c r="B408" s="6" vm="829">
        <f ca="1"/>
        <v>522.48</v>
      </c>
      <c r="C408" s="2">
        <f t="shared" ca="1" si="13"/>
        <v>3.6431309828070797E-3</v>
      </c>
      <c r="Z408">
        <v>406</v>
      </c>
      <c r="AA408" s="8">
        <v>3.5049696470496425E-2</v>
      </c>
      <c r="AC408">
        <v>406</v>
      </c>
      <c r="AD408" s="8">
        <v>1.262957336691416E-2</v>
      </c>
      <c r="AF408">
        <v>406</v>
      </c>
      <c r="AG408" s="8">
        <v>2.3364494512536263E-2</v>
      </c>
    </row>
    <row r="409" spans="1:33" ht="15" customHeight="1" x14ac:dyDescent="0.35">
      <c r="A409" vm="830">
        <f ca="1"/>
        <v>45884</v>
      </c>
      <c r="B409" s="6" vm="831">
        <f ca="1"/>
        <v>520.16999999999996</v>
      </c>
      <c r="C409" s="2">
        <f t="shared" ca="1" si="13"/>
        <v>-4.4310243697106002E-3</v>
      </c>
      <c r="Z409">
        <v>407</v>
      </c>
      <c r="AA409" s="8">
        <v>3.4177037300072738E-2</v>
      </c>
      <c r="AC409">
        <v>407</v>
      </c>
      <c r="AD409" s="8">
        <v>2.8939984423672762E-2</v>
      </c>
      <c r="AF409">
        <v>407</v>
      </c>
      <c r="AG409" s="8">
        <v>2.2442938223585871E-2</v>
      </c>
    </row>
    <row r="410" spans="1:33" ht="15" customHeight="1" x14ac:dyDescent="0.35">
      <c r="A410" vm="832">
        <f ca="1"/>
        <v>45887</v>
      </c>
      <c r="B410" s="6" vm="833">
        <f ca="1"/>
        <v>517.1</v>
      </c>
      <c r="C410" s="2">
        <f t="shared" ca="1" si="13"/>
        <v>-5.9194018225152238E-3</v>
      </c>
      <c r="Z410">
        <v>408</v>
      </c>
      <c r="AA410" s="8">
        <v>1.689896042359133E-2</v>
      </c>
      <c r="AC410">
        <v>408</v>
      </c>
      <c r="AD410" s="8">
        <v>2.632566567003173E-2</v>
      </c>
      <c r="AF410">
        <v>408</v>
      </c>
      <c r="AG410" s="8">
        <v>2.4095750899229936E-2</v>
      </c>
    </row>
    <row r="411" spans="1:33" ht="15" customHeight="1" x14ac:dyDescent="0.35">
      <c r="A411" vm="834">
        <f ca="1"/>
        <v>45888</v>
      </c>
      <c r="B411" s="6" vm="835">
        <f ca="1"/>
        <v>509.77</v>
      </c>
      <c r="C411" s="2">
        <f t="shared" ca="1" si="13"/>
        <v>-1.4276635798202614E-2</v>
      </c>
      <c r="Z411">
        <v>409</v>
      </c>
      <c r="AA411" s="8">
        <v>5.4541618861970308E-2</v>
      </c>
      <c r="AC411">
        <v>409</v>
      </c>
      <c r="AD411" s="8">
        <v>2.808363037573243E-2</v>
      </c>
      <c r="AF411">
        <v>409</v>
      </c>
      <c r="AG411" s="8">
        <v>2.4526707741797008E-2</v>
      </c>
    </row>
    <row r="412" spans="1:33" ht="15" customHeight="1" x14ac:dyDescent="0.35">
      <c r="A412" vm="836">
        <f ca="1"/>
        <v>45889</v>
      </c>
      <c r="B412" s="6" vm="837">
        <f ca="1"/>
        <v>505.72</v>
      </c>
      <c r="C412" s="2">
        <f t="shared" ca="1" si="13"/>
        <v>-7.9764871602762358E-3</v>
      </c>
      <c r="Z412">
        <v>410</v>
      </c>
      <c r="AA412" s="8">
        <v>2.893499519907301E-2</v>
      </c>
      <c r="AC412">
        <v>410</v>
      </c>
      <c r="AD412" s="8">
        <v>4.4296196067334363E-2</v>
      </c>
      <c r="AF412">
        <v>410</v>
      </c>
      <c r="AG412" s="8">
        <v>2.4041453226082098E-2</v>
      </c>
    </row>
    <row r="413" spans="1:33" ht="15" customHeight="1" x14ac:dyDescent="0.35">
      <c r="A413" vm="838">
        <f ca="1"/>
        <v>45890</v>
      </c>
      <c r="B413" s="6" vm="839">
        <f ca="1"/>
        <v>504.24</v>
      </c>
      <c r="C413" s="2">
        <f t="shared" ca="1" si="13"/>
        <v>-2.9308112388423155E-3</v>
      </c>
      <c r="Z413">
        <v>411</v>
      </c>
      <c r="AA413" s="8">
        <v>3.7120099815456116E-2</v>
      </c>
      <c r="AC413">
        <v>411</v>
      </c>
      <c r="AD413" s="8">
        <v>2.4982138988044397E-2</v>
      </c>
      <c r="AF413">
        <v>411</v>
      </c>
      <c r="AG413" s="8">
        <v>2.2983605979345147E-2</v>
      </c>
    </row>
    <row r="414" spans="1:33" ht="15" customHeight="1" x14ac:dyDescent="0.35">
      <c r="A414" vm="840">
        <f ca="1"/>
        <v>45891</v>
      </c>
      <c r="B414" s="6" vm="841">
        <f ca="1"/>
        <v>507.23</v>
      </c>
      <c r="C414" s="2">
        <f t="shared" ca="1" si="13"/>
        <v>5.9122044339561313E-3</v>
      </c>
      <c r="Z414">
        <v>412</v>
      </c>
      <c r="AA414" s="8">
        <v>1.996916363804031E-2</v>
      </c>
      <c r="AC414">
        <v>412</v>
      </c>
      <c r="AD414" s="8">
        <v>5.3902025413991382E-2</v>
      </c>
      <c r="AF414">
        <v>412</v>
      </c>
      <c r="AG414" s="8">
        <v>2.3439407394470771E-2</v>
      </c>
    </row>
    <row r="415" spans="1:33" ht="15" customHeight="1" x14ac:dyDescent="0.35">
      <c r="A415" vm="842">
        <f ca="1"/>
        <v>45894</v>
      </c>
      <c r="B415" s="6" vm="843">
        <f ca="1"/>
        <v>504.26</v>
      </c>
      <c r="C415" s="2">
        <f t="shared" ca="1" si="13"/>
        <v>-5.8725415683089253E-3</v>
      </c>
      <c r="Z415">
        <v>413</v>
      </c>
      <c r="AA415" s="8">
        <v>5.5264183746750538E-2</v>
      </c>
      <c r="AC415">
        <v>413</v>
      </c>
      <c r="AD415" s="8">
        <v>6.0538348737458329E-2</v>
      </c>
      <c r="AF415">
        <v>413</v>
      </c>
      <c r="AG415" s="8">
        <v>2.4501764584779363E-2</v>
      </c>
    </row>
    <row r="416" spans="1:33" ht="15" customHeight="1" x14ac:dyDescent="0.35">
      <c r="A416" vm="844">
        <f ca="1"/>
        <v>45895</v>
      </c>
      <c r="B416" s="6" vm="845">
        <f ca="1"/>
        <v>502.04</v>
      </c>
      <c r="C416" s="2">
        <f t="shared" ca="1" si="13"/>
        <v>-4.4122102782564454E-3</v>
      </c>
      <c r="Z416">
        <v>414</v>
      </c>
      <c r="AA416" s="8">
        <v>2.0298848785809842E-2</v>
      </c>
      <c r="AC416">
        <v>414</v>
      </c>
      <c r="AD416" s="8">
        <v>6.167330791676242E-2</v>
      </c>
      <c r="AF416">
        <v>414</v>
      </c>
      <c r="AG416" s="8">
        <v>2.2941079420943315E-2</v>
      </c>
    </row>
    <row r="417" spans="1:33" ht="15" customHeight="1" x14ac:dyDescent="0.35">
      <c r="A417" vm="846">
        <f ca="1"/>
        <v>45896</v>
      </c>
      <c r="B417" s="6" vm="847">
        <f ca="1"/>
        <v>506.74</v>
      </c>
      <c r="C417" s="2">
        <f t="shared" ca="1" si="13"/>
        <v>9.3182537487059691E-3</v>
      </c>
      <c r="Z417">
        <v>415</v>
      </c>
      <c r="AA417" s="8">
        <v>7.358091073697122E-2</v>
      </c>
      <c r="AC417">
        <v>415</v>
      </c>
      <c r="AD417" s="8">
        <v>6.0395071556337138E-2</v>
      </c>
      <c r="AF417">
        <v>415</v>
      </c>
      <c r="AG417" s="8">
        <v>2.2490534290856463E-2</v>
      </c>
    </row>
    <row r="418" spans="1:33" ht="15" customHeight="1" x14ac:dyDescent="0.35">
      <c r="A418" vm="848">
        <f ca="1"/>
        <v>45897</v>
      </c>
      <c r="B418" s="6" vm="849">
        <f ca="1"/>
        <v>509.64</v>
      </c>
      <c r="C418" s="2">
        <f t="shared" ca="1" si="13"/>
        <v>5.7065425722285946E-3</v>
      </c>
      <c r="Z418">
        <v>416</v>
      </c>
      <c r="AA418" s="8">
        <v>4.0956540263830679E-2</v>
      </c>
      <c r="AC418">
        <v>416</v>
      </c>
      <c r="AD418" s="8">
        <v>4.1930503589090874E-2</v>
      </c>
      <c r="AF418">
        <v>416</v>
      </c>
      <c r="AG418" s="8">
        <v>2.2872332418955966E-2</v>
      </c>
    </row>
    <row r="419" spans="1:33" ht="15" customHeight="1" x14ac:dyDescent="0.35">
      <c r="A419" vm="850">
        <f ca="1"/>
        <v>45898</v>
      </c>
      <c r="B419" s="6" vm="851">
        <f ca="1"/>
        <v>506.69</v>
      </c>
      <c r="C419" s="2">
        <f t="shared" ca="1" si="13"/>
        <v>-5.8052173697786275E-3</v>
      </c>
      <c r="Z419">
        <v>417</v>
      </c>
      <c r="AA419" s="8">
        <v>5.86656692168014E-2</v>
      </c>
      <c r="AC419">
        <v>417</v>
      </c>
      <c r="AD419" s="8">
        <v>2.2487314991604668E-2</v>
      </c>
      <c r="AF419">
        <v>417</v>
      </c>
      <c r="AG419" s="8">
        <v>2.265199445298309E-2</v>
      </c>
    </row>
    <row r="420" spans="1:33" ht="15" customHeight="1" x14ac:dyDescent="0.35">
      <c r="A420" vm="852">
        <f ca="1"/>
        <v>45902</v>
      </c>
      <c r="B420" s="6" vm="853">
        <f ca="1"/>
        <v>505.12</v>
      </c>
      <c r="C420" s="2">
        <f t="shared" ca="1" si="13"/>
        <v>-3.1033519337198886E-3</v>
      </c>
      <c r="Z420">
        <v>418</v>
      </c>
      <c r="AA420" s="8">
        <v>3.5331425357848292E-2</v>
      </c>
      <c r="AC420">
        <v>418</v>
      </c>
      <c r="AD420" s="8">
        <v>2.7016568483707034E-2</v>
      </c>
      <c r="AF420">
        <v>418</v>
      </c>
      <c r="AG420" s="8">
        <v>2.3203728854979819E-2</v>
      </c>
    </row>
    <row r="421" spans="1:33" ht="15" customHeight="1" x14ac:dyDescent="0.35">
      <c r="A421" vm="854">
        <f ca="1"/>
        <v>45903</v>
      </c>
      <c r="B421" s="6" vm="855">
        <f ca="1"/>
        <v>505.35</v>
      </c>
      <c r="C421" s="2">
        <f t="shared" ca="1" si="13"/>
        <v>4.5523371099014061E-4</v>
      </c>
      <c r="Z421">
        <v>419</v>
      </c>
      <c r="AA421" s="8">
        <v>1.7807199914247486E-2</v>
      </c>
      <c r="AC421">
        <v>419</v>
      </c>
      <c r="AD421" s="8">
        <v>2.0906265913342749E-2</v>
      </c>
      <c r="AF421">
        <v>419</v>
      </c>
      <c r="AG421" s="8">
        <v>2.3210471394269062E-2</v>
      </c>
    </row>
    <row r="422" spans="1:33" ht="15" customHeight="1" x14ac:dyDescent="0.35">
      <c r="A422" vm="856">
        <f ca="1"/>
        <v>45904</v>
      </c>
      <c r="B422" s="6" vm="857">
        <f ca="1"/>
        <v>507.97</v>
      </c>
      <c r="C422" s="2">
        <f t="shared" ca="1" si="13"/>
        <v>5.1711321958779078E-3</v>
      </c>
      <c r="Z422">
        <v>420</v>
      </c>
      <c r="AA422" s="8">
        <v>7.5295226358585501E-2</v>
      </c>
      <c r="AC422">
        <v>420</v>
      </c>
      <c r="AD422" s="8">
        <v>4.115893659211655E-2</v>
      </c>
      <c r="AF422">
        <v>420</v>
      </c>
      <c r="AG422" s="8">
        <v>2.1978178674649684E-2</v>
      </c>
    </row>
    <row r="423" spans="1:33" ht="15" customHeight="1" x14ac:dyDescent="0.35">
      <c r="A423" vm="858">
        <f ca="1"/>
        <v>45905</v>
      </c>
      <c r="B423" s="6" vm="859">
        <f ca="1"/>
        <v>495</v>
      </c>
      <c r="C423" s="2">
        <f t="shared" ca="1" si="13"/>
        <v>-2.5864628147859225E-2</v>
      </c>
      <c r="Z423">
        <v>421</v>
      </c>
      <c r="AA423" s="8">
        <v>1.0145198593919203E-2</v>
      </c>
      <c r="AC423">
        <v>421</v>
      </c>
      <c r="AD423" s="8">
        <v>2.3142210119660698E-2</v>
      </c>
      <c r="AF423">
        <v>421</v>
      </c>
      <c r="AG423" s="8">
        <v>2.6422740833291904E-2</v>
      </c>
    </row>
    <row r="424" spans="1:33" ht="15" customHeight="1" x14ac:dyDescent="0.35">
      <c r="A424" vm="860">
        <f ca="1"/>
        <v>45908</v>
      </c>
      <c r="B424" s="6" vm="861">
        <f ca="1"/>
        <v>498.2</v>
      </c>
      <c r="C424" s="2">
        <f t="shared" ca="1" si="13"/>
        <v>6.4438402593897859E-3</v>
      </c>
      <c r="Z424">
        <v>422</v>
      </c>
      <c r="AA424" s="8">
        <v>2.5037360872906755E-2</v>
      </c>
      <c r="AC424">
        <v>422</v>
      </c>
      <c r="AD424" s="8">
        <v>3.0379941838683967E-2</v>
      </c>
      <c r="AF424">
        <v>422</v>
      </c>
      <c r="AG424" s="8">
        <v>2.2674631920769957E-2</v>
      </c>
    </row>
    <row r="425" spans="1:33" ht="15" customHeight="1" x14ac:dyDescent="0.35">
      <c r="A425" vm="862">
        <f ca="1"/>
        <v>45909</v>
      </c>
      <c r="B425" s="6" vm="863">
        <f ca="1"/>
        <v>498.41</v>
      </c>
      <c r="C425" s="2">
        <f t="shared" ca="1" si="13"/>
        <v>4.2142864933734724E-4</v>
      </c>
      <c r="Z425">
        <v>423</v>
      </c>
      <c r="AA425" s="8">
        <v>3.484380876151686E-2</v>
      </c>
      <c r="AC425">
        <v>423</v>
      </c>
      <c r="AD425" s="8">
        <v>2.5713317131248723E-2</v>
      </c>
      <c r="AF425">
        <v>423</v>
      </c>
      <c r="AG425" s="8">
        <v>2.0109050705367289E-2</v>
      </c>
    </row>
    <row r="426" spans="1:33" ht="15" customHeight="1" x14ac:dyDescent="0.35">
      <c r="A426" vm="864">
        <f ca="1"/>
        <v>45910</v>
      </c>
      <c r="B426" s="6" vm="865">
        <f ca="1"/>
        <v>500.37</v>
      </c>
      <c r="C426" s="2">
        <f t="shared" ca="1" si="13"/>
        <v>3.9247932797739698E-3</v>
      </c>
      <c r="Z426">
        <v>424</v>
      </c>
      <c r="AA426" s="8">
        <v>2.4029495645011306E-2</v>
      </c>
      <c r="AC426">
        <v>424</v>
      </c>
      <c r="AD426" s="8">
        <v>3.4155559981385843E-2</v>
      </c>
      <c r="AF426">
        <v>424</v>
      </c>
      <c r="AG426" s="8">
        <v>2.3658275786951132E-2</v>
      </c>
    </row>
    <row r="427" spans="1:33" ht="15" customHeight="1" x14ac:dyDescent="0.35">
      <c r="A427" vm="866">
        <f ca="1"/>
        <v>45911</v>
      </c>
      <c r="B427" s="6" vm="867">
        <f ca="1"/>
        <v>501.01</v>
      </c>
      <c r="C427" s="2">
        <f t="shared" ca="1" si="13"/>
        <v>1.2782362083138793E-3</v>
      </c>
      <c r="Z427">
        <v>425</v>
      </c>
      <c r="AA427" s="8">
        <v>2.2812065251205611E-2</v>
      </c>
      <c r="AC427">
        <v>425</v>
      </c>
      <c r="AD427" s="8">
        <v>4.3745557434349817E-2</v>
      </c>
      <c r="AF427">
        <v>425</v>
      </c>
      <c r="AG427" s="8">
        <v>2.3361478793034861E-2</v>
      </c>
    </row>
    <row r="428" spans="1:33" ht="15" customHeight="1" x14ac:dyDescent="0.35">
      <c r="A428" vm="868">
        <f ca="1"/>
        <v>45912</v>
      </c>
      <c r="B428" s="6" vm="869">
        <f ca="1"/>
        <v>509.9</v>
      </c>
      <c r="C428" s="2">
        <f t="shared" ca="1" si="13"/>
        <v>1.7588567095604728E-2</v>
      </c>
      <c r="Z428">
        <v>426</v>
      </c>
      <c r="AA428" s="8">
        <v>1.8711084116507393E-2</v>
      </c>
      <c r="AC428">
        <v>426</v>
      </c>
      <c r="AD428" s="8">
        <v>1.9037387374760836E-2</v>
      </c>
      <c r="AF428">
        <v>426</v>
      </c>
      <c r="AG428" s="8">
        <v>2.3503546420008823E-2</v>
      </c>
    </row>
    <row r="429" spans="1:33" ht="15" customHeight="1" x14ac:dyDescent="0.35">
      <c r="A429" vm="870">
        <f ca="1"/>
        <v>45915</v>
      </c>
      <c r="B429" s="6" vm="871">
        <f ca="1"/>
        <v>515.36</v>
      </c>
      <c r="C429" s="2">
        <f t="shared" ca="1" si="13"/>
        <v>1.0651057521778771E-2</v>
      </c>
      <c r="Z429">
        <v>427</v>
      </c>
      <c r="AA429" s="8">
        <v>1.6135180796022722E-2</v>
      </c>
      <c r="AC429">
        <v>427</v>
      </c>
      <c r="AD429" s="8">
        <v>3.4677379508803216E-2</v>
      </c>
      <c r="AF429">
        <v>427</v>
      </c>
      <c r="AG429" s="8">
        <v>2.3087185038107604E-2</v>
      </c>
    </row>
    <row r="430" spans="1:33" ht="15" customHeight="1" x14ac:dyDescent="0.35">
      <c r="A430" vm="872">
        <f ca="1"/>
        <v>45916</v>
      </c>
      <c r="B430" s="6" vm="873">
        <f ca="1"/>
        <v>509.04</v>
      </c>
      <c r="C430" s="2">
        <f t="shared" ca="1" si="13"/>
        <v>-1.2339086658352013E-2</v>
      </c>
      <c r="Z430">
        <v>428</v>
      </c>
      <c r="AA430" s="8">
        <v>4.6389935634890231E-2</v>
      </c>
      <c r="AC430">
        <v>428</v>
      </c>
      <c r="AD430" s="8">
        <v>3.9691841979775162E-2</v>
      </c>
      <c r="AF430">
        <v>428</v>
      </c>
      <c r="AG430" s="8">
        <v>4.7166622749836427E-2</v>
      </c>
    </row>
    <row r="431" spans="1:33" ht="15" customHeight="1" x14ac:dyDescent="0.35">
      <c r="A431" vm="874">
        <f ca="1"/>
        <v>45917</v>
      </c>
      <c r="B431" s="6" vm="875">
        <f ca="1"/>
        <v>510.02</v>
      </c>
      <c r="C431" s="2">
        <f t="shared" ca="1" si="13"/>
        <v>1.923341711194247E-3</v>
      </c>
      <c r="Z431">
        <v>429</v>
      </c>
      <c r="AA431" s="8">
        <v>9.9989044845122995E-3</v>
      </c>
      <c r="AC431">
        <v>429</v>
      </c>
      <c r="AD431" s="8">
        <v>2.5449687047774509E-2</v>
      </c>
      <c r="AF431">
        <v>429</v>
      </c>
      <c r="AG431" s="8">
        <v>2.4848232527742761E-2</v>
      </c>
    </row>
    <row r="432" spans="1:33" ht="15" customHeight="1" x14ac:dyDescent="0.35">
      <c r="A432" vm="876">
        <f ca="1"/>
        <v>45918</v>
      </c>
      <c r="B432" s="6" vm="877">
        <f ca="1"/>
        <v>508.45</v>
      </c>
      <c r="C432" s="2">
        <f t="shared" ca="1" si="13"/>
        <v>-3.0830583985846176E-3</v>
      </c>
      <c r="Z432">
        <v>430</v>
      </c>
      <c r="AA432" s="8">
        <v>3.7201396303136611E-2</v>
      </c>
      <c r="AC432">
        <v>430</v>
      </c>
      <c r="AD432" s="8">
        <v>5.4276371109573486E-2</v>
      </c>
      <c r="AF432">
        <v>430</v>
      </c>
      <c r="AG432" s="8">
        <v>2.2827862677474695E-2</v>
      </c>
    </row>
    <row r="433" spans="1:33" ht="15" customHeight="1" x14ac:dyDescent="0.35">
      <c r="A433" vm="878">
        <f ca="1"/>
        <v>45919</v>
      </c>
      <c r="B433" s="6" vm="879">
        <f ca="1"/>
        <v>517.92999999999995</v>
      </c>
      <c r="C433" s="2">
        <f t="shared" ca="1" si="13"/>
        <v>1.8473215755626417E-2</v>
      </c>
      <c r="Z433">
        <v>431</v>
      </c>
      <c r="AA433" s="8">
        <v>4.8465128379545176E-2</v>
      </c>
      <c r="AC433">
        <v>431</v>
      </c>
      <c r="AD433" s="8">
        <v>1.5809144951173696E-2</v>
      </c>
      <c r="AF433">
        <v>431</v>
      </c>
      <c r="AG433" s="8">
        <v>3.783452065211499E-2</v>
      </c>
    </row>
    <row r="434" spans="1:33" ht="15" customHeight="1" x14ac:dyDescent="0.35">
      <c r="A434" vm="880">
        <f ca="1"/>
        <v>45922</v>
      </c>
      <c r="B434" s="6" vm="881">
        <f ca="1"/>
        <v>514.45000000000005</v>
      </c>
      <c r="C434" s="2">
        <f t="shared" ca="1" si="13"/>
        <v>-6.7417291709534486E-3</v>
      </c>
      <c r="Z434">
        <v>432</v>
      </c>
      <c r="AA434" s="8">
        <v>4.8548537402549066E-2</v>
      </c>
      <c r="AC434">
        <v>432</v>
      </c>
      <c r="AD434" s="8">
        <v>3.3270754944531709E-2</v>
      </c>
      <c r="AF434">
        <v>432</v>
      </c>
      <c r="AG434" s="8">
        <v>2.1086416830282558E-2</v>
      </c>
    </row>
    <row r="435" spans="1:33" ht="15" customHeight="1" x14ac:dyDescent="0.35">
      <c r="A435" vm="882">
        <f ca="1"/>
        <v>45923</v>
      </c>
      <c r="B435" s="6" vm="883">
        <f ca="1"/>
        <v>509.23</v>
      </c>
      <c r="C435" s="2">
        <f t="shared" ca="1" si="13"/>
        <v>-1.0198587927461228E-2</v>
      </c>
      <c r="Z435">
        <v>433</v>
      </c>
      <c r="AA435" s="8">
        <v>2.9052187063243536E-2</v>
      </c>
      <c r="AC435">
        <v>433</v>
      </c>
      <c r="AD435" s="8">
        <v>1.9990990393791961E-2</v>
      </c>
      <c r="AF435">
        <v>433</v>
      </c>
      <c r="AG435" s="8">
        <v>2.32787754962776E-2</v>
      </c>
    </row>
    <row r="436" spans="1:33" ht="15" customHeight="1" x14ac:dyDescent="0.35">
      <c r="A436" vm="884">
        <f ca="1"/>
        <v>45924</v>
      </c>
      <c r="B436" s="6" vm="885">
        <f ca="1"/>
        <v>510.15</v>
      </c>
      <c r="C436" s="2">
        <f t="shared" ca="1" si="13"/>
        <v>1.8050192269559011E-3</v>
      </c>
      <c r="Z436">
        <v>434</v>
      </c>
      <c r="AA436" s="8">
        <v>3.3543579138229022E-2</v>
      </c>
      <c r="AC436">
        <v>434</v>
      </c>
      <c r="AD436" s="8">
        <v>4.5809358151531886E-2</v>
      </c>
      <c r="AF436">
        <v>434</v>
      </c>
      <c r="AG436" s="8">
        <v>2.3646388514541261E-2</v>
      </c>
    </row>
    <row r="437" spans="1:33" ht="15" customHeight="1" x14ac:dyDescent="0.35">
      <c r="A437" vm="886">
        <f ca="1"/>
        <v>45925</v>
      </c>
      <c r="B437" s="6" vm="887">
        <f ca="1"/>
        <v>507.03</v>
      </c>
      <c r="C437" s="2">
        <f t="shared" ca="1" si="13"/>
        <v>-6.134626683067846E-3</v>
      </c>
      <c r="Z437">
        <v>435</v>
      </c>
      <c r="AA437" s="8">
        <v>3.120457465310884E-2</v>
      </c>
      <c r="AC437">
        <v>435</v>
      </c>
      <c r="AD437" s="8">
        <v>2.6123878777638818E-2</v>
      </c>
      <c r="AF437">
        <v>435</v>
      </c>
      <c r="AG437" s="8">
        <v>2.2967871152615872E-2</v>
      </c>
    </row>
    <row r="438" spans="1:33" ht="15" customHeight="1" x14ac:dyDescent="0.35">
      <c r="A438" vm="888">
        <f ca="1"/>
        <v>45926</v>
      </c>
      <c r="B438" s="6" vm="889">
        <f ca="1"/>
        <v>511.46</v>
      </c>
      <c r="C438" s="2">
        <f t="shared" ca="1" si="13"/>
        <v>8.6992075270243534E-3</v>
      </c>
      <c r="Z438">
        <v>436</v>
      </c>
      <c r="AA438" s="8">
        <v>4.6447395731217644E-2</v>
      </c>
      <c r="AC438">
        <v>436</v>
      </c>
      <c r="AD438" s="8">
        <v>4.33095488501474E-2</v>
      </c>
      <c r="AF438">
        <v>436</v>
      </c>
      <c r="AG438" s="8">
        <v>2.3221508006442362E-2</v>
      </c>
    </row>
    <row r="439" spans="1:33" ht="15" customHeight="1" x14ac:dyDescent="0.35">
      <c r="A439" vm="890">
        <f ca="1"/>
        <v>45929</v>
      </c>
      <c r="B439" s="6" vm="891">
        <f ca="1"/>
        <v>514.6</v>
      </c>
      <c r="C439" s="2">
        <f t="shared" ca="1" si="13"/>
        <v>6.1205188823731478E-3</v>
      </c>
      <c r="Z439">
        <v>437</v>
      </c>
      <c r="AA439" s="8">
        <v>1.7933573076193532E-2</v>
      </c>
      <c r="AC439">
        <v>437</v>
      </c>
      <c r="AD439" s="8">
        <v>5.8078698795618951E-2</v>
      </c>
      <c r="AF439">
        <v>437</v>
      </c>
      <c r="AG439" s="8">
        <v>2.2209795309232481E-2</v>
      </c>
    </row>
    <row r="440" spans="1:33" ht="15" customHeight="1" x14ac:dyDescent="0.35">
      <c r="A440" vm="892">
        <f ca="1"/>
        <v>45930</v>
      </c>
      <c r="B440" s="6" vm="893">
        <f ca="1"/>
        <v>517.95000000000005</v>
      </c>
      <c r="C440" s="2">
        <f t="shared" ca="1" si="13"/>
        <v>6.4888126564672617E-3</v>
      </c>
      <c r="Z440">
        <v>438</v>
      </c>
      <c r="AA440" s="8">
        <v>1.632936429073735E-2</v>
      </c>
      <c r="AC440">
        <v>438</v>
      </c>
      <c r="AD440" s="8">
        <v>2.7630175828601347E-2</v>
      </c>
      <c r="AF440">
        <v>438</v>
      </c>
      <c r="AG440" s="8">
        <v>2.3714538985309772E-2</v>
      </c>
    </row>
    <row r="441" spans="1:33" ht="15" customHeight="1" x14ac:dyDescent="0.35">
      <c r="A441" vm="894">
        <f ca="1"/>
        <v>45931</v>
      </c>
      <c r="B441" s="6" vm="895">
        <f ca="1"/>
        <v>519.71</v>
      </c>
      <c r="C441" s="2">
        <f t="shared" ca="1" si="13"/>
        <v>3.3922511954726036E-3</v>
      </c>
      <c r="Z441">
        <v>439</v>
      </c>
      <c r="AA441" s="8">
        <v>6.9294010313889903E-2</v>
      </c>
      <c r="AC441">
        <v>439</v>
      </c>
      <c r="AD441" s="8">
        <v>2.4894152891442093E-2</v>
      </c>
      <c r="AF441">
        <v>439</v>
      </c>
      <c r="AG441" s="8">
        <v>2.313598892421892E-2</v>
      </c>
    </row>
    <row r="442" spans="1:33" ht="15" customHeight="1" x14ac:dyDescent="0.35">
      <c r="A442" vm="896">
        <f ca="1"/>
        <v>45932</v>
      </c>
      <c r="B442" s="6" vm="897">
        <f ca="1"/>
        <v>515.74</v>
      </c>
      <c r="C442" s="2">
        <f t="shared" ca="1" si="13"/>
        <v>-7.668201175168525E-3</v>
      </c>
      <c r="Z442">
        <v>440</v>
      </c>
      <c r="AA442" s="8">
        <v>6.5961430376527061E-2</v>
      </c>
      <c r="AC442">
        <v>440</v>
      </c>
      <c r="AD442" s="8">
        <v>3.4169750926933917E-2</v>
      </c>
      <c r="AF442">
        <v>440</v>
      </c>
      <c r="AG442" s="8">
        <v>2.2076659674266877E-2</v>
      </c>
    </row>
    <row r="443" spans="1:33" ht="15" customHeight="1" x14ac:dyDescent="0.35">
      <c r="A443" vm="898">
        <f ca="1"/>
        <v>45933</v>
      </c>
      <c r="B443" s="6" vm="899">
        <f ca="1"/>
        <v>517.35</v>
      </c>
      <c r="C443" s="2">
        <f t="shared" ca="1" si="13"/>
        <v>3.1168655265446286E-3</v>
      </c>
      <c r="Z443">
        <v>441</v>
      </c>
      <c r="AA443" s="8">
        <v>2.8560023855908268E-2</v>
      </c>
      <c r="AC443">
        <v>441</v>
      </c>
      <c r="AD443" s="8">
        <v>3.0212210101965117E-2</v>
      </c>
      <c r="AF443">
        <v>441</v>
      </c>
      <c r="AG443" s="8">
        <v>2.2911814838559863E-2</v>
      </c>
    </row>
    <row r="444" spans="1:33" ht="15" customHeight="1" x14ac:dyDescent="0.35">
      <c r="A444" vm="900">
        <f ca="1"/>
        <v>45936</v>
      </c>
      <c r="B444" s="6" vm="901">
        <f ca="1"/>
        <v>528.57000000000005</v>
      </c>
      <c r="C444" s="2">
        <f t="shared" ca="1" si="13"/>
        <v>2.1455618819687983E-2</v>
      </c>
      <c r="Z444">
        <v>442</v>
      </c>
      <c r="AA444" s="8">
        <v>3.953028619487927E-2</v>
      </c>
      <c r="AC444">
        <v>442</v>
      </c>
      <c r="AD444" s="8">
        <v>2.2808071716226338E-2</v>
      </c>
      <c r="AF444">
        <v>442</v>
      </c>
      <c r="AG444" s="8">
        <v>2.5406104180370412E-2</v>
      </c>
    </row>
    <row r="445" spans="1:33" ht="15" customHeight="1" x14ac:dyDescent="0.35">
      <c r="A445" vm="902">
        <f ca="1"/>
        <v>45937</v>
      </c>
      <c r="B445" s="6" vm="903">
        <f ca="1"/>
        <v>523.98</v>
      </c>
      <c r="C445" s="2">
        <f t="shared" ca="1" si="13"/>
        <v>-8.7217312169509571E-3</v>
      </c>
      <c r="Z445">
        <v>443</v>
      </c>
      <c r="AA445" s="8">
        <v>2.0234807043901567E-2</v>
      </c>
      <c r="AC445">
        <v>443</v>
      </c>
      <c r="AD445" s="8">
        <v>3.7727063277539025E-2</v>
      </c>
      <c r="AF445">
        <v>443</v>
      </c>
      <c r="AG445" s="8">
        <v>2.2858365034099812E-2</v>
      </c>
    </row>
    <row r="446" spans="1:33" ht="15" customHeight="1" x14ac:dyDescent="0.35">
      <c r="A446" vm="904">
        <f ca="1"/>
        <v>45938</v>
      </c>
      <c r="B446" s="6" vm="905">
        <f ca="1"/>
        <v>524.85</v>
      </c>
      <c r="C446" s="2">
        <f t="shared" ca="1" si="13"/>
        <v>1.6589918281101695E-3</v>
      </c>
      <c r="Z446">
        <v>444</v>
      </c>
      <c r="AA446" s="8">
        <v>3.7583047929800689E-2</v>
      </c>
      <c r="AC446">
        <v>444</v>
      </c>
      <c r="AD446" s="8">
        <v>4.0227872884063549E-2</v>
      </c>
      <c r="AF446">
        <v>444</v>
      </c>
      <c r="AG446" s="8">
        <v>1.9183338083659161E-2</v>
      </c>
    </row>
    <row r="447" spans="1:33" ht="15" customHeight="1" x14ac:dyDescent="0.35">
      <c r="A447" vm="906">
        <f ca="1"/>
        <v>45939</v>
      </c>
      <c r="B447" s="6" vm="907">
        <f ca="1"/>
        <v>522.4</v>
      </c>
      <c r="C447" s="2">
        <f t="shared" ca="1" si="13"/>
        <v>-4.6789295195854624E-3</v>
      </c>
      <c r="Z447">
        <v>445</v>
      </c>
      <c r="AA447" s="8">
        <v>2.0504326971531418E-2</v>
      </c>
      <c r="AC447">
        <v>445</v>
      </c>
      <c r="AD447" s="8">
        <v>2.8653063821558498E-2</v>
      </c>
      <c r="AF447">
        <v>445</v>
      </c>
      <c r="AG447" s="8">
        <v>2.3319335829588436E-2</v>
      </c>
    </row>
    <row r="448" spans="1:33" ht="15" customHeight="1" x14ac:dyDescent="0.35">
      <c r="A448" vm="908">
        <f ca="1"/>
        <v>45940</v>
      </c>
      <c r="B448" s="6" vm="909">
        <f ca="1"/>
        <v>510.96</v>
      </c>
      <c r="C448" s="2">
        <f t="shared" ca="1" si="13"/>
        <v>-2.2142268708887615E-2</v>
      </c>
      <c r="Z448">
        <v>446</v>
      </c>
      <c r="AA448" s="8">
        <v>7.7581516556375742E-3</v>
      </c>
      <c r="AC448">
        <v>446</v>
      </c>
      <c r="AD448" s="8">
        <v>2.0122604331910602E-2</v>
      </c>
      <c r="AF448">
        <v>446</v>
      </c>
      <c r="AG448" s="8">
        <v>2.2996330738601124E-2</v>
      </c>
    </row>
    <row r="449" spans="1:33" ht="15" customHeight="1" x14ac:dyDescent="0.35">
      <c r="A449" vm="910">
        <f ca="1"/>
        <v>45943</v>
      </c>
      <c r="B449" s="6" vm="911">
        <f ca="1"/>
        <v>514.04999999999995</v>
      </c>
      <c r="C449" s="2">
        <f t="shared" ca="1" si="13"/>
        <v>6.0292277353936686E-3</v>
      </c>
      <c r="Z449">
        <v>447</v>
      </c>
      <c r="AA449" s="8">
        <v>5.1420649476569359E-2</v>
      </c>
      <c r="AC449">
        <v>447</v>
      </c>
      <c r="AD449" s="8">
        <v>2.7579802354029962E-2</v>
      </c>
      <c r="AF449">
        <v>447</v>
      </c>
      <c r="AG449" s="8">
        <v>2.325147491691263E-2</v>
      </c>
    </row>
    <row r="450" spans="1:33" ht="15" customHeight="1" x14ac:dyDescent="0.35">
      <c r="A450" vm="912">
        <f ca="1"/>
        <v>45944</v>
      </c>
      <c r="B450" s="6" vm="913">
        <f ca="1"/>
        <v>513.57000000000005</v>
      </c>
      <c r="C450" s="2">
        <f t="shared" ca="1" si="13"/>
        <v>-9.3419753393063647E-4</v>
      </c>
      <c r="Z450">
        <v>448</v>
      </c>
      <c r="AA450" s="8">
        <v>1.8619043808783837E-2</v>
      </c>
      <c r="AC450">
        <v>448</v>
      </c>
      <c r="AD450" s="8">
        <v>2.1341480428424195E-2</v>
      </c>
      <c r="AF450">
        <v>448</v>
      </c>
      <c r="AG450" s="8">
        <v>2.3298338754743863E-2</v>
      </c>
    </row>
    <row r="451" spans="1:33" ht="15" customHeight="1" x14ac:dyDescent="0.35">
      <c r="A451" vm="914">
        <f ca="1"/>
        <v>45945</v>
      </c>
      <c r="B451" s="6" vm="915">
        <f ca="1"/>
        <v>513.42999999999995</v>
      </c>
      <c r="C451" s="2">
        <f t="shared" ca="1" si="13"/>
        <v>-2.7263875534037593E-4</v>
      </c>
      <c r="Z451">
        <v>449</v>
      </c>
      <c r="AA451" s="8">
        <v>3.4408365086590724E-2</v>
      </c>
      <c r="AC451">
        <v>449</v>
      </c>
      <c r="AD451" s="8">
        <v>2.2627251511624365E-2</v>
      </c>
      <c r="AF451">
        <v>449</v>
      </c>
      <c r="AG451" s="8">
        <v>2.3842994205408474E-2</v>
      </c>
    </row>
    <row r="452" spans="1:33" ht="15" customHeight="1" x14ac:dyDescent="0.35">
      <c r="A452" vm="916">
        <f ca="1"/>
        <v>45946</v>
      </c>
      <c r="B452" s="6" vm="917">
        <f ca="1"/>
        <v>511.61</v>
      </c>
      <c r="C452" s="2">
        <f t="shared" ca="1" si="13"/>
        <v>-3.5510846650801801E-3</v>
      </c>
      <c r="Z452">
        <v>450</v>
      </c>
      <c r="AA452" s="8">
        <v>1.8437637547178417E-2</v>
      </c>
      <c r="AC452">
        <v>450</v>
      </c>
      <c r="AD452" s="8">
        <v>3.7537500069725005E-2</v>
      </c>
      <c r="AF452">
        <v>450</v>
      </c>
      <c r="AG452" s="8">
        <v>2.3513272538049943E-2</v>
      </c>
    </row>
    <row r="453" spans="1:33" ht="15" customHeight="1" x14ac:dyDescent="0.35">
      <c r="A453" vm="918">
        <f ca="1"/>
        <v>45947</v>
      </c>
      <c r="B453" s="6" vm="919">
        <f ca="1"/>
        <v>513.58000000000004</v>
      </c>
      <c r="C453" s="2">
        <f t="shared" ca="1" si="13"/>
        <v>3.8431947731934805E-3</v>
      </c>
      <c r="Z453">
        <v>451</v>
      </c>
      <c r="AA453" s="8">
        <v>5.1003445615771734E-2</v>
      </c>
      <c r="AC453">
        <v>451</v>
      </c>
      <c r="AD453" s="8">
        <v>2.2891952415215445E-2</v>
      </c>
      <c r="AF453">
        <v>451</v>
      </c>
      <c r="AG453" s="8">
        <v>2.2996685589499022E-2</v>
      </c>
    </row>
    <row r="454" spans="1:33" ht="15" customHeight="1" x14ac:dyDescent="0.35">
      <c r="A454" vm="920">
        <f ca="1"/>
        <v>45950</v>
      </c>
      <c r="B454" s="6" vm="921">
        <f ca="1"/>
        <v>516.79</v>
      </c>
      <c r="C454" s="2">
        <f t="shared" ref="C454:C504" ca="1" si="14">IFERROR(LN(B454/B453),C453)</f>
        <v>6.2307916284104932E-3</v>
      </c>
      <c r="Z454">
        <v>452</v>
      </c>
      <c r="AA454" s="8">
        <v>6.7240629393272883E-2</v>
      </c>
      <c r="AC454">
        <v>452</v>
      </c>
      <c r="AD454" s="8">
        <v>2.3586988590857984E-2</v>
      </c>
      <c r="AF454">
        <v>452</v>
      </c>
      <c r="AG454" s="8">
        <v>2.307005531067435E-2</v>
      </c>
    </row>
    <row r="455" spans="1:33" ht="15" customHeight="1" x14ac:dyDescent="0.35">
      <c r="A455" vm="922">
        <f ca="1"/>
        <v>45951</v>
      </c>
      <c r="B455" s="6" vm="923">
        <f ca="1"/>
        <v>517.66</v>
      </c>
      <c r="C455" s="2">
        <f t="shared" ca="1" si="14"/>
        <v>1.6820536616067938E-3</v>
      </c>
      <c r="Z455">
        <v>453</v>
      </c>
      <c r="AA455" s="8">
        <v>1.658106367008633E-2</v>
      </c>
      <c r="AC455">
        <v>453</v>
      </c>
      <c r="AD455" s="8">
        <v>2.5170726173040069E-2</v>
      </c>
      <c r="AF455">
        <v>453</v>
      </c>
      <c r="AG455" s="8">
        <v>2.3569690936518596E-2</v>
      </c>
    </row>
    <row r="456" spans="1:33" ht="15" customHeight="1" x14ac:dyDescent="0.35">
      <c r="A456" vm="924">
        <f ca="1"/>
        <v>45952</v>
      </c>
      <c r="B456" s="6" vm="925">
        <f ca="1"/>
        <v>520.54</v>
      </c>
      <c r="C456" s="2">
        <f t="shared" ca="1" si="14"/>
        <v>5.5480781881667701E-3</v>
      </c>
      <c r="Z456">
        <v>454</v>
      </c>
      <c r="AA456" s="8">
        <v>4.7420501750087482E-2</v>
      </c>
      <c r="AC456">
        <v>454</v>
      </c>
      <c r="AD456" s="8">
        <v>4.4485015242666841E-2</v>
      </c>
      <c r="AF456">
        <v>454</v>
      </c>
      <c r="AG456" s="8">
        <v>2.3349954486332813E-2</v>
      </c>
    </row>
    <row r="457" spans="1:33" ht="15" customHeight="1" x14ac:dyDescent="0.35">
      <c r="A457" vm="926">
        <f ca="1"/>
        <v>45953</v>
      </c>
      <c r="B457" s="6" vm="927">
        <f ca="1"/>
        <v>520.55999999999995</v>
      </c>
      <c r="C457" s="2">
        <f t="shared" ca="1" si="14"/>
        <v>3.8420900974708165E-5</v>
      </c>
      <c r="Z457">
        <v>455</v>
      </c>
      <c r="AA457" s="8">
        <v>2.2537020124225527E-2</v>
      </c>
      <c r="AC457">
        <v>455</v>
      </c>
      <c r="AD457" s="8">
        <v>2.648193599263262E-2</v>
      </c>
      <c r="AF457">
        <v>455</v>
      </c>
      <c r="AG457" s="8">
        <v>2.3601476007120391E-2</v>
      </c>
    </row>
    <row r="458" spans="1:33" ht="15" customHeight="1" x14ac:dyDescent="0.35">
      <c r="A458" vm="928">
        <f ca="1"/>
        <v>45954</v>
      </c>
      <c r="B458" s="6" vm="929">
        <f ca="1"/>
        <v>523.61</v>
      </c>
      <c r="C458" s="2">
        <f t="shared" ca="1" si="14"/>
        <v>5.8419772151516447E-3</v>
      </c>
      <c r="Z458">
        <v>456</v>
      </c>
      <c r="AA458" s="8">
        <v>6.9122677444813013E-2</v>
      </c>
      <c r="AC458">
        <v>456</v>
      </c>
      <c r="AD458" s="8">
        <v>5.888321106107712E-2</v>
      </c>
      <c r="AF458">
        <v>456</v>
      </c>
      <c r="AG458" s="8">
        <v>2.3283206267738988E-2</v>
      </c>
    </row>
    <row r="459" spans="1:33" ht="15" customHeight="1" x14ac:dyDescent="0.35">
      <c r="A459" vm="930">
        <f ca="1"/>
        <v>45957</v>
      </c>
      <c r="B459" s="6" vm="931">
        <f ca="1"/>
        <v>531.52</v>
      </c>
      <c r="C459" s="2">
        <f t="shared" ca="1" si="14"/>
        <v>1.4993694023049847E-2</v>
      </c>
      <c r="Z459">
        <v>457</v>
      </c>
      <c r="AA459" s="8">
        <v>3.5357776088029945E-2</v>
      </c>
      <c r="AC459">
        <v>457</v>
      </c>
      <c r="AD459" s="8">
        <v>1.9508570143488092E-2</v>
      </c>
      <c r="AF459">
        <v>457</v>
      </c>
      <c r="AG459" s="8">
        <v>2.3427357324566554E-2</v>
      </c>
    </row>
    <row r="460" spans="1:33" ht="15" customHeight="1" x14ac:dyDescent="0.35">
      <c r="A460" vm="932">
        <f ca="1"/>
        <v>45958</v>
      </c>
      <c r="B460" s="6" vm="933">
        <f ca="1"/>
        <v>542.07000000000005</v>
      </c>
      <c r="C460" s="2">
        <f t="shared" ca="1" si="14"/>
        <v>1.9654317966919119E-2</v>
      </c>
      <c r="Z460">
        <v>458</v>
      </c>
      <c r="AA460" s="8">
        <v>2.1091805185829423E-2</v>
      </c>
      <c r="AC460">
        <v>458</v>
      </c>
      <c r="AD460" s="8">
        <v>1.6865132176690438E-2</v>
      </c>
      <c r="AF460">
        <v>458</v>
      </c>
      <c r="AG460" s="8">
        <v>2.2934677447913252E-2</v>
      </c>
    </row>
    <row r="461" spans="1:33" ht="15" customHeight="1" x14ac:dyDescent="0.35">
      <c r="A461" vm="934">
        <f ca="1"/>
        <v>45959</v>
      </c>
      <c r="B461" s="6" vm="935">
        <f ca="1"/>
        <v>541.54999999999995</v>
      </c>
      <c r="C461" s="2">
        <f t="shared" ca="1" si="14"/>
        <v>-9.5974611010316089E-4</v>
      </c>
      <c r="Z461">
        <v>459</v>
      </c>
      <c r="AA461" s="8">
        <v>3.7951254769132407E-2</v>
      </c>
      <c r="AC461">
        <v>459</v>
      </c>
      <c r="AD461" s="8">
        <v>2.6782728001603803E-2</v>
      </c>
      <c r="AF461">
        <v>459</v>
      </c>
      <c r="AG461" s="8">
        <v>2.3428585902002311E-2</v>
      </c>
    </row>
    <row r="462" spans="1:33" ht="15" customHeight="1" x14ac:dyDescent="0.35">
      <c r="A462" vm="936">
        <f ca="1"/>
        <v>45960</v>
      </c>
      <c r="B462" s="6" vm="937">
        <f ca="1"/>
        <v>525.76</v>
      </c>
      <c r="C462" s="2">
        <f t="shared" ca="1" si="14"/>
        <v>-2.9590563432842814E-2</v>
      </c>
      <c r="Z462">
        <v>460</v>
      </c>
      <c r="AA462" s="8">
        <v>1.5265035992166037E-2</v>
      </c>
      <c r="AC462">
        <v>460</v>
      </c>
      <c r="AD462" s="8">
        <v>2.8669974523684912E-2</v>
      </c>
      <c r="AF462">
        <v>460</v>
      </c>
      <c r="AG462" s="8">
        <v>2.3096755743630296E-2</v>
      </c>
    </row>
    <row r="463" spans="1:33" ht="15" customHeight="1" x14ac:dyDescent="0.35">
      <c r="A463" vm="938">
        <f ca="1"/>
        <v>45961</v>
      </c>
      <c r="B463" s="6" vm="939">
        <f ca="1"/>
        <v>517.80999999999995</v>
      </c>
      <c r="C463" s="2">
        <f t="shared" ca="1" si="14"/>
        <v>-1.5236455242090181E-2</v>
      </c>
      <c r="Z463">
        <v>461</v>
      </c>
      <c r="AA463" s="8">
        <v>9.1518205576646451E-3</v>
      </c>
      <c r="AC463">
        <v>461</v>
      </c>
      <c r="AD463" s="8">
        <v>3.2835432942875005E-2</v>
      </c>
      <c r="AF463">
        <v>461</v>
      </c>
      <c r="AG463" s="8">
        <v>2.4813314499147043E-2</v>
      </c>
    </row>
    <row r="464" spans="1:33" ht="15" customHeight="1" x14ac:dyDescent="0.35">
      <c r="A464" vm="940">
        <f ca="1"/>
        <v>45964</v>
      </c>
      <c r="B464" s="6" vm="941">
        <f ca="1"/>
        <v>517.03</v>
      </c>
      <c r="C464" s="2">
        <f t="shared" ca="1" si="14"/>
        <v>-1.507479702586237E-3</v>
      </c>
      <c r="Z464">
        <v>462</v>
      </c>
      <c r="AA464" s="8">
        <v>5.4069048435660572E-2</v>
      </c>
      <c r="AC464">
        <v>462</v>
      </c>
      <c r="AD464" s="8">
        <v>2.6739549310129122E-2</v>
      </c>
      <c r="AF464">
        <v>462</v>
      </c>
      <c r="AG464" s="8">
        <v>2.5716012060945759E-2</v>
      </c>
    </row>
    <row r="465" spans="1:33" ht="15" customHeight="1" x14ac:dyDescent="0.35">
      <c r="A465" vm="942">
        <f ca="1"/>
        <v>45965</v>
      </c>
      <c r="B465" s="6" vm="943">
        <f ca="1"/>
        <v>514.33000000000004</v>
      </c>
      <c r="C465" s="2">
        <f t="shared" ca="1" si="14"/>
        <v>-5.2358171115765365E-3</v>
      </c>
      <c r="Z465">
        <v>463</v>
      </c>
      <c r="AA465" s="8">
        <v>2.0061350659950718E-2</v>
      </c>
      <c r="AC465">
        <v>463</v>
      </c>
      <c r="AD465" s="8">
        <v>2.1054876075595523E-2</v>
      </c>
      <c r="AF465">
        <v>463</v>
      </c>
      <c r="AG465" s="8">
        <v>2.3016923219538285E-2</v>
      </c>
    </row>
    <row r="466" spans="1:33" ht="15" customHeight="1" x14ac:dyDescent="0.35">
      <c r="A466" vm="944">
        <f ca="1"/>
        <v>45966</v>
      </c>
      <c r="B466" s="6" vm="945">
        <f ca="1"/>
        <v>507.16</v>
      </c>
      <c r="C466" s="2">
        <f t="shared" ca="1" si="14"/>
        <v>-1.4038547132903064E-2</v>
      </c>
      <c r="Z466">
        <v>464</v>
      </c>
      <c r="AA466" s="8">
        <v>2.1906058558220684E-2</v>
      </c>
      <c r="AC466">
        <v>464</v>
      </c>
      <c r="AD466" s="8">
        <v>2.8866539713265991E-2</v>
      </c>
      <c r="AF466">
        <v>464</v>
      </c>
      <c r="AG466" s="8">
        <v>2.3188647779881957E-2</v>
      </c>
    </row>
    <row r="467" spans="1:33" ht="15" customHeight="1" x14ac:dyDescent="0.35">
      <c r="A467" vm="946">
        <f ca="1"/>
        <v>45967</v>
      </c>
      <c r="B467" s="6" vm="947">
        <f ca="1"/>
        <v>497.1</v>
      </c>
      <c r="C467" s="2">
        <f t="shared" ca="1" si="14"/>
        <v>-2.0035322559120352E-2</v>
      </c>
      <c r="Z467">
        <v>465</v>
      </c>
      <c r="AA467" s="8">
        <v>1.7983958084036467E-2</v>
      </c>
      <c r="AC467">
        <v>465</v>
      </c>
      <c r="AD467" s="8">
        <v>4.0044761787342946E-2</v>
      </c>
      <c r="AF467">
        <v>465</v>
      </c>
      <c r="AG467" s="8">
        <v>2.2633716334521117E-2</v>
      </c>
    </row>
    <row r="468" spans="1:33" ht="15" customHeight="1" x14ac:dyDescent="0.35">
      <c r="A468" vm="948">
        <f ca="1"/>
        <v>45968</v>
      </c>
      <c r="B468" s="6" vm="949">
        <f ca="1"/>
        <v>496.82</v>
      </c>
      <c r="C468" s="2">
        <f t="shared" ca="1" si="14"/>
        <v>-5.6342564272209299E-4</v>
      </c>
      <c r="Z468">
        <v>466</v>
      </c>
      <c r="AA468" s="8">
        <v>7.7011153969107723E-2</v>
      </c>
      <c r="AC468">
        <v>466</v>
      </c>
      <c r="AD468" s="8">
        <v>5.2640956136950905E-2</v>
      </c>
      <c r="AF468">
        <v>466</v>
      </c>
      <c r="AG468" s="8">
        <v>2.2901988595955491E-2</v>
      </c>
    </row>
    <row r="469" spans="1:33" ht="15" customHeight="1" x14ac:dyDescent="0.35">
      <c r="A469" vm="950">
        <f ca="1"/>
        <v>45971</v>
      </c>
      <c r="B469" s="6" vm="951">
        <f ca="1"/>
        <v>506</v>
      </c>
      <c r="C469" s="2">
        <f t="shared" ca="1" si="14"/>
        <v>1.8308881829560569E-2</v>
      </c>
      <c r="Z469">
        <v>467</v>
      </c>
      <c r="AA469" s="8">
        <v>4.8413736461515353E-2</v>
      </c>
      <c r="AC469">
        <v>467</v>
      </c>
      <c r="AD469" s="8">
        <v>3.5090528266660821E-2</v>
      </c>
      <c r="AF469">
        <v>467</v>
      </c>
      <c r="AG469" s="8">
        <v>2.2739830725508871E-2</v>
      </c>
    </row>
    <row r="470" spans="1:33" ht="15" customHeight="1" x14ac:dyDescent="0.35">
      <c r="A470" vm="952">
        <f ca="1"/>
        <v>45972</v>
      </c>
      <c r="B470" s="6" vm="953">
        <f ca="1"/>
        <v>508.68</v>
      </c>
      <c r="C470" s="2">
        <f t="shared" ca="1" si="14"/>
        <v>5.2824658650805871E-3</v>
      </c>
      <c r="Z470">
        <v>468</v>
      </c>
      <c r="AA470" s="8">
        <v>8.8071742082336299E-2</v>
      </c>
      <c r="AC470">
        <v>468</v>
      </c>
      <c r="AD470" s="8">
        <v>2.7252052369836986E-2</v>
      </c>
      <c r="AF470">
        <v>468</v>
      </c>
      <c r="AG470" s="8">
        <v>2.2659023512663717E-2</v>
      </c>
    </row>
    <row r="471" spans="1:33" ht="15" customHeight="1" x14ac:dyDescent="0.35">
      <c r="A471" vm="954">
        <f ca="1"/>
        <v>45973</v>
      </c>
      <c r="B471" s="6" vm="955">
        <f ca="1"/>
        <v>511.14</v>
      </c>
      <c r="C471" s="2">
        <f t="shared" ca="1" si="14"/>
        <v>4.8243901302579498E-3</v>
      </c>
      <c r="Z471">
        <v>469</v>
      </c>
      <c r="AA471" s="8">
        <v>2.2500216165857161E-2</v>
      </c>
      <c r="AC471">
        <v>469</v>
      </c>
      <c r="AD471" s="8">
        <v>5.210042762753244E-2</v>
      </c>
      <c r="AF471">
        <v>469</v>
      </c>
      <c r="AG471" s="8">
        <v>2.2317211398766829E-2</v>
      </c>
    </row>
    <row r="472" spans="1:33" ht="15" customHeight="1" x14ac:dyDescent="0.35">
      <c r="A472" vm="956">
        <f ca="1"/>
        <v>45974</v>
      </c>
      <c r="B472" s="6" vm="957">
        <f ca="1"/>
        <v>503.29</v>
      </c>
      <c r="C472" s="2">
        <f t="shared" ca="1" si="14"/>
        <v>-1.5476980563366001E-2</v>
      </c>
      <c r="Z472">
        <v>470</v>
      </c>
      <c r="AA472" s="8">
        <v>1.7590704248967755E-2</v>
      </c>
      <c r="AC472">
        <v>470</v>
      </c>
      <c r="AD472" s="8">
        <v>4.1414051065673529E-2</v>
      </c>
      <c r="AF472">
        <v>470</v>
      </c>
      <c r="AG472" s="8">
        <v>2.2916961998322747E-2</v>
      </c>
    </row>
    <row r="473" spans="1:33" ht="15" customHeight="1" x14ac:dyDescent="0.35">
      <c r="A473" vm="958">
        <f ca="1"/>
        <v>45975</v>
      </c>
      <c r="B473" s="6" vm="959">
        <f ca="1"/>
        <v>510.18</v>
      </c>
      <c r="C473" s="2">
        <f t="shared" ca="1" si="14"/>
        <v>1.3597059906317998E-2</v>
      </c>
      <c r="Z473">
        <v>471</v>
      </c>
      <c r="AA473" s="8">
        <v>5.2113855624069338E-2</v>
      </c>
      <c r="AC473">
        <v>471</v>
      </c>
      <c r="AD473" s="8">
        <v>2.8801433190156014E-2</v>
      </c>
      <c r="AF473">
        <v>471</v>
      </c>
      <c r="AG473" s="8">
        <v>2.3133410817043742E-2</v>
      </c>
    </row>
    <row r="474" spans="1:33" ht="15" customHeight="1" x14ac:dyDescent="0.35">
      <c r="A474" vm="960">
        <f ca="1"/>
        <v>45978</v>
      </c>
      <c r="B474" s="6" vm="961">
        <f ca="1"/>
        <v>507.49</v>
      </c>
      <c r="C474" s="2">
        <f t="shared" ca="1" si="14"/>
        <v>-5.2865983374461231E-3</v>
      </c>
      <c r="Z474">
        <v>472</v>
      </c>
      <c r="AA474" s="8">
        <v>2.1554094484609244E-2</v>
      </c>
      <c r="AC474">
        <v>472</v>
      </c>
      <c r="AD474" s="8">
        <v>2.6867725347821322E-2</v>
      </c>
      <c r="AF474">
        <v>472</v>
      </c>
      <c r="AG474" s="8">
        <v>2.2792996259532568E-2</v>
      </c>
    </row>
    <row r="475" spans="1:33" ht="15" customHeight="1" x14ac:dyDescent="0.35">
      <c r="A475" vm="962">
        <f ca="1"/>
        <v>45979</v>
      </c>
      <c r="B475" s="6" vm="963">
        <f ca="1"/>
        <v>493.79</v>
      </c>
      <c r="C475" s="2">
        <f t="shared" ca="1" si="14"/>
        <v>-2.73666806960986E-2</v>
      </c>
      <c r="Z475">
        <v>473</v>
      </c>
      <c r="AA475" s="8">
        <v>1.6327681036324516E-2</v>
      </c>
      <c r="AC475">
        <v>473</v>
      </c>
      <c r="AD475" s="8">
        <v>3.2654648982031582E-2</v>
      </c>
      <c r="AF475">
        <v>473</v>
      </c>
      <c r="AG475" s="8">
        <v>2.2590862687263156E-2</v>
      </c>
    </row>
    <row r="476" spans="1:33" ht="15" customHeight="1" x14ac:dyDescent="0.35">
      <c r="A476" vm="964">
        <f ca="1"/>
        <v>45980</v>
      </c>
      <c r="B476" s="6" vm="965">
        <f ca="1"/>
        <v>487.12</v>
      </c>
      <c r="C476" s="2">
        <f t="shared" ca="1" si="14"/>
        <v>-1.359982629189267E-2</v>
      </c>
      <c r="Z476">
        <v>474</v>
      </c>
      <c r="AA476" s="8">
        <v>2.2112089966616739E-2</v>
      </c>
      <c r="AC476">
        <v>474</v>
      </c>
      <c r="AD476" s="8">
        <v>3.2078433546215791E-2</v>
      </c>
      <c r="AF476">
        <v>474</v>
      </c>
      <c r="AG476" s="8">
        <v>2.5426328409901614E-2</v>
      </c>
    </row>
    <row r="477" spans="1:33" ht="15" customHeight="1" x14ac:dyDescent="0.35">
      <c r="A477" vm="966">
        <f ca="1"/>
        <v>45981</v>
      </c>
      <c r="B477" s="6" vm="967">
        <f ca="1"/>
        <v>478.43</v>
      </c>
      <c r="C477" s="2">
        <f t="shared" ca="1" si="14"/>
        <v>-1.8000589599925308E-2</v>
      </c>
      <c r="Z477">
        <v>475</v>
      </c>
      <c r="AA477" s="8">
        <v>4.3730770096883191E-2</v>
      </c>
      <c r="AC477">
        <v>475</v>
      </c>
      <c r="AD477" s="8">
        <v>2.4498929319981089E-2</v>
      </c>
      <c r="AF477">
        <v>475</v>
      </c>
      <c r="AG477" s="8">
        <v>2.9389611319478013E-2</v>
      </c>
    </row>
    <row r="478" spans="1:33" ht="15" customHeight="1" x14ac:dyDescent="0.35">
      <c r="A478" vm="968">
        <f ca="1"/>
        <v>45982</v>
      </c>
      <c r="B478" s="6" vm="969">
        <f ca="1"/>
        <v>472.12</v>
      </c>
      <c r="C478" s="2">
        <f t="shared" ca="1" si="14"/>
        <v>-1.3276719139525063E-2</v>
      </c>
      <c r="Z478">
        <v>476</v>
      </c>
      <c r="AA478" s="8">
        <v>6.3234805575255862E-2</v>
      </c>
      <c r="AC478">
        <v>476</v>
      </c>
      <c r="AD478" s="8">
        <v>3.4589975540015333E-2</v>
      </c>
      <c r="AF478">
        <v>476</v>
      </c>
      <c r="AG478" s="8">
        <v>2.3588556775779534E-2</v>
      </c>
    </row>
    <row r="479" spans="1:33" ht="15" customHeight="1" x14ac:dyDescent="0.35">
      <c r="A479" vm="970">
        <f ca="1"/>
        <v>45985</v>
      </c>
      <c r="B479" s="6" vm="971">
        <f ca="1"/>
        <v>474</v>
      </c>
      <c r="C479" s="2">
        <f t="shared" ca="1" si="14"/>
        <v>3.974131134208198E-3</v>
      </c>
      <c r="Z479">
        <v>477</v>
      </c>
      <c r="AA479" s="8">
        <v>6.2454708582218722E-2</v>
      </c>
      <c r="AC479">
        <v>477</v>
      </c>
      <c r="AD479" s="8">
        <v>6.2821592384553732E-2</v>
      </c>
      <c r="AF479">
        <v>477</v>
      </c>
      <c r="AG479" s="8">
        <v>2.2971351789343116E-2</v>
      </c>
    </row>
    <row r="480" spans="1:33" ht="15" customHeight="1" x14ac:dyDescent="0.35">
      <c r="A480" vm="972">
        <f ca="1"/>
        <v>45986</v>
      </c>
      <c r="B480" s="6" vm="973">
        <f ca="1"/>
        <v>476.99</v>
      </c>
      <c r="C480" s="2">
        <f t="shared" ca="1" si="14"/>
        <v>6.2882046129223565E-3</v>
      </c>
      <c r="Z480">
        <v>478</v>
      </c>
      <c r="AA480" s="8">
        <v>4.7166941415330121E-2</v>
      </c>
      <c r="AC480">
        <v>478</v>
      </c>
      <c r="AD480" s="8">
        <v>1.4028483047609142E-2</v>
      </c>
      <c r="AF480">
        <v>478</v>
      </c>
      <c r="AG480" s="8">
        <v>2.3454329598723875E-2</v>
      </c>
    </row>
    <row r="481" spans="1:33" ht="15" customHeight="1" x14ac:dyDescent="0.35">
      <c r="A481" vm="974">
        <f ca="1"/>
        <v>45987</v>
      </c>
      <c r="B481" s="6" vm="975">
        <f ca="1"/>
        <v>485.5</v>
      </c>
      <c r="C481" s="2">
        <f t="shared" ca="1" si="14"/>
        <v>1.7683761423380632E-2</v>
      </c>
      <c r="Z481">
        <v>479</v>
      </c>
      <c r="AA481" s="8">
        <v>1.8868426479658782E-2</v>
      </c>
      <c r="AC481">
        <v>479</v>
      </c>
      <c r="AD481" s="8">
        <v>5.8967571676364232E-2</v>
      </c>
      <c r="AF481">
        <v>479</v>
      </c>
      <c r="AG481" s="8">
        <v>2.3719078311891604E-2</v>
      </c>
    </row>
    <row r="482" spans="1:33" ht="15" customHeight="1" x14ac:dyDescent="0.35">
      <c r="A482" vm="976">
        <f ca="1"/>
        <v>45989</v>
      </c>
      <c r="B482" s="6" vm="977">
        <f ca="1"/>
        <v>492.01</v>
      </c>
      <c r="C482" s="2">
        <f t="shared" ca="1" si="14"/>
        <v>1.3319753757626425E-2</v>
      </c>
      <c r="Z482">
        <v>480</v>
      </c>
      <c r="AA482" s="8">
        <v>3.8033459502634245E-2</v>
      </c>
      <c r="AC482">
        <v>480</v>
      </c>
      <c r="AD482" s="8">
        <v>2.9245756068670012E-2</v>
      </c>
      <c r="AF482">
        <v>480</v>
      </c>
      <c r="AG482" s="8">
        <v>1.9930368928112265E-2</v>
      </c>
    </row>
    <row r="483" spans="1:33" ht="15" customHeight="1" x14ac:dyDescent="0.35">
      <c r="A483" vm="978">
        <f ca="1"/>
        <v>45992</v>
      </c>
      <c r="B483" s="6" vm="979">
        <f ca="1"/>
        <v>486.74</v>
      </c>
      <c r="C483" s="2">
        <f t="shared" ca="1" si="14"/>
        <v>-1.0768941875060578E-2</v>
      </c>
      <c r="Z483">
        <v>481</v>
      </c>
      <c r="AA483" s="8">
        <v>9.7467259555114906E-3</v>
      </c>
      <c r="AC483">
        <v>481</v>
      </c>
      <c r="AD483" s="8">
        <v>2.8984190330341119E-2</v>
      </c>
      <c r="AF483">
        <v>481</v>
      </c>
      <c r="AG483" s="8">
        <v>2.2889923956674118E-2</v>
      </c>
    </row>
    <row r="484" spans="1:33" ht="15" customHeight="1" x14ac:dyDescent="0.35">
      <c r="A484" vm="980">
        <f ca="1"/>
        <v>45993</v>
      </c>
      <c r="B484" s="6" vm="981">
        <f ca="1"/>
        <v>490</v>
      </c>
      <c r="C484" s="2">
        <f t="shared" ca="1" si="14"/>
        <v>6.6752914907268592E-3</v>
      </c>
      <c r="Z484">
        <v>482</v>
      </c>
      <c r="AA484" s="8">
        <v>2.2831564685646556E-2</v>
      </c>
      <c r="AC484">
        <v>482</v>
      </c>
      <c r="AD484" s="8">
        <v>2.0566332302083278E-2</v>
      </c>
      <c r="AF484">
        <v>482</v>
      </c>
      <c r="AG484" s="8">
        <v>2.2046795142422398E-2</v>
      </c>
    </row>
    <row r="485" spans="1:33" ht="15" customHeight="1" x14ac:dyDescent="0.35">
      <c r="A485" vm="982">
        <f ca="1"/>
        <v>45994</v>
      </c>
      <c r="B485" s="6" vm="983">
        <f ca="1"/>
        <v>477.73</v>
      </c>
      <c r="C485" s="2">
        <f t="shared" ca="1" si="14"/>
        <v>-2.5359671759571177E-2</v>
      </c>
      <c r="Z485">
        <v>483</v>
      </c>
      <c r="AA485" s="8">
        <v>3.2770438921281293E-2</v>
      </c>
      <c r="AC485">
        <v>483</v>
      </c>
      <c r="AD485" s="8">
        <v>2.2197090640431183E-2</v>
      </c>
      <c r="AF485">
        <v>483</v>
      </c>
      <c r="AG485" s="8">
        <v>2.2766127068548529E-2</v>
      </c>
    </row>
    <row r="486" spans="1:33" ht="15" customHeight="1" x14ac:dyDescent="0.35">
      <c r="A486" vm="984">
        <f ca="1"/>
        <v>45995</v>
      </c>
      <c r="B486" s="6" vm="985">
        <f ca="1"/>
        <v>480.84</v>
      </c>
      <c r="C486" s="2">
        <f t="shared" ca="1" si="14"/>
        <v>6.488855090952381E-3</v>
      </c>
      <c r="Z486">
        <v>484</v>
      </c>
      <c r="AA486" s="8">
        <v>4.9798588371119314E-2</v>
      </c>
      <c r="AC486">
        <v>484</v>
      </c>
      <c r="AD486" s="8">
        <v>3.5973735099069433E-2</v>
      </c>
      <c r="AF486">
        <v>484</v>
      </c>
      <c r="AG486" s="8">
        <v>2.3329149203261158E-2</v>
      </c>
    </row>
    <row r="487" spans="1:33" ht="15" customHeight="1" x14ac:dyDescent="0.35">
      <c r="A487" vm="986">
        <f ca="1"/>
        <v>45996</v>
      </c>
      <c r="B487" s="6" vm="987">
        <f ca="1"/>
        <v>483.16</v>
      </c>
      <c r="C487" s="2">
        <f t="shared" ca="1" si="14"/>
        <v>4.8132873010242813E-3</v>
      </c>
      <c r="Z487">
        <v>485</v>
      </c>
      <c r="AA487" s="8">
        <v>3.9019834679472738E-2</v>
      </c>
      <c r="AC487">
        <v>485</v>
      </c>
      <c r="AD487" s="8">
        <v>4.0904878401870869E-2</v>
      </c>
      <c r="AF487">
        <v>485</v>
      </c>
      <c r="AG487" s="8">
        <v>2.2921874505148234E-2</v>
      </c>
    </row>
    <row r="488" spans="1:33" ht="15" customHeight="1" x14ac:dyDescent="0.35">
      <c r="A488" vm="988">
        <f ca="1"/>
        <v>45999</v>
      </c>
      <c r="B488" s="6" vm="989">
        <f ca="1"/>
        <v>491.02</v>
      </c>
      <c r="C488" s="2">
        <f t="shared" ca="1" si="14"/>
        <v>1.6136998425424685E-2</v>
      </c>
      <c r="Z488">
        <v>486</v>
      </c>
      <c r="AA488" s="8">
        <v>2.108234302585963E-2</v>
      </c>
      <c r="AC488">
        <v>486</v>
      </c>
      <c r="AD488" s="8">
        <v>2.5193323292309035E-2</v>
      </c>
      <c r="AF488">
        <v>486</v>
      </c>
      <c r="AG488" s="8">
        <v>2.3205491781951512E-2</v>
      </c>
    </row>
    <row r="489" spans="1:33" ht="15" customHeight="1" x14ac:dyDescent="0.35">
      <c r="A489" vm="990">
        <f ca="1"/>
        <v>46000</v>
      </c>
      <c r="B489" s="6" vm="991">
        <f ca="1"/>
        <v>492.02</v>
      </c>
      <c r="C489" s="2">
        <f t="shared" ca="1" si="14"/>
        <v>2.0345059101043159E-3</v>
      </c>
      <c r="Z489">
        <v>487</v>
      </c>
      <c r="AA489" s="8">
        <v>5.2752568942795931E-2</v>
      </c>
      <c r="AC489">
        <v>487</v>
      </c>
      <c r="AD489" s="8">
        <v>7.0857191925487867E-2</v>
      </c>
      <c r="AF489">
        <v>487</v>
      </c>
      <c r="AG489" s="8">
        <v>2.2273072110794156E-2</v>
      </c>
    </row>
    <row r="490" spans="1:33" ht="15" customHeight="1" x14ac:dyDescent="0.35">
      <c r="A490" vm="992">
        <f ca="1"/>
        <v>46001</v>
      </c>
      <c r="B490" s="6" vm="993">
        <f ca="1"/>
        <v>478.56</v>
      </c>
      <c r="C490" s="2">
        <f t="shared" ca="1" si="14"/>
        <v>-2.7737771190968898E-2</v>
      </c>
      <c r="Z490">
        <v>488</v>
      </c>
      <c r="AA490" s="8">
        <v>1.9514859354924037E-2</v>
      </c>
      <c r="AC490">
        <v>488</v>
      </c>
      <c r="AD490" s="8">
        <v>2.7568792352938794E-2</v>
      </c>
      <c r="AF490">
        <v>488</v>
      </c>
      <c r="AG490" s="8">
        <v>2.3571269281661089E-2</v>
      </c>
    </row>
    <row r="491" spans="1:33" ht="15" customHeight="1" x14ac:dyDescent="0.35">
      <c r="A491" vm="994">
        <f ca="1"/>
        <v>46002</v>
      </c>
      <c r="B491" s="6" vm="20">
        <f ca="1"/>
        <v>483.47</v>
      </c>
      <c r="C491" s="2">
        <f t="shared" ca="1" si="14"/>
        <v>1.0207670516877522E-2</v>
      </c>
      <c r="Z491">
        <v>489</v>
      </c>
      <c r="AA491" s="8">
        <v>4.3632290220102662E-2</v>
      </c>
      <c r="AC491">
        <v>489</v>
      </c>
      <c r="AD491" s="8">
        <v>1.9750513271867533E-2</v>
      </c>
      <c r="AF491">
        <v>489</v>
      </c>
      <c r="AG491" s="8">
        <v>2.284702122533263E-2</v>
      </c>
    </row>
    <row r="492" spans="1:33" ht="15" customHeight="1" x14ac:dyDescent="0.35">
      <c r="A492" vm="995">
        <f ca="1"/>
        <v>46003</v>
      </c>
      <c r="B492" s="6" vm="996">
        <f ca="1"/>
        <v>478.53</v>
      </c>
      <c r="C492" s="2">
        <f t="shared" ca="1" si="14"/>
        <v>-1.0270360546049068E-2</v>
      </c>
      <c r="Z492">
        <v>490</v>
      </c>
      <c r="AA492" s="8">
        <v>8.0945090289687039E-3</v>
      </c>
      <c r="AC492">
        <v>490</v>
      </c>
      <c r="AD492" s="8">
        <v>9.8748794422478886E-2</v>
      </c>
      <c r="AF492">
        <v>490</v>
      </c>
      <c r="AG492" s="8">
        <v>2.220069319554567E-2</v>
      </c>
    </row>
    <row r="493" spans="1:33" ht="15" customHeight="1" x14ac:dyDescent="0.35">
      <c r="A493" vm="997">
        <f ca="1"/>
        <v>46006</v>
      </c>
      <c r="B493" s="6" vm="998">
        <f ca="1"/>
        <v>474.82</v>
      </c>
      <c r="C493" s="2">
        <f t="shared" ca="1" si="14"/>
        <v>-7.7831200049445952E-3</v>
      </c>
      <c r="Z493">
        <v>491</v>
      </c>
      <c r="AA493" s="8">
        <v>2.4661718370623708E-2</v>
      </c>
      <c r="AC493">
        <v>491</v>
      </c>
      <c r="AD493" s="8">
        <v>2.8164569674128413E-2</v>
      </c>
      <c r="AF493">
        <v>491</v>
      </c>
      <c r="AG493" s="8">
        <v>2.2549997710339005E-2</v>
      </c>
    </row>
    <row r="494" spans="1:33" ht="15" customHeight="1" x14ac:dyDescent="0.35">
      <c r="A494" vm="999">
        <f ca="1"/>
        <v>46007</v>
      </c>
      <c r="B494" s="6" vm="1000">
        <f ca="1"/>
        <v>476.39</v>
      </c>
      <c r="C494" s="2">
        <f t="shared" ca="1" si="14"/>
        <v>3.301061649250175E-3</v>
      </c>
      <c r="Z494">
        <v>492</v>
      </c>
      <c r="AA494" s="8">
        <v>2.5482774786242023E-2</v>
      </c>
      <c r="AC494">
        <v>492</v>
      </c>
      <c r="AD494" s="8">
        <v>4.6547805566960476E-2</v>
      </c>
      <c r="AF494">
        <v>492</v>
      </c>
      <c r="AG494" s="8">
        <v>2.2757508687223846E-2</v>
      </c>
    </row>
    <row r="495" spans="1:33" ht="15" customHeight="1" x14ac:dyDescent="0.35">
      <c r="A495" vm="1001">
        <f ca="1"/>
        <v>46008</v>
      </c>
      <c r="B495" s="6" vm="1002">
        <f ca="1"/>
        <v>476.12</v>
      </c>
      <c r="C495" s="2">
        <f t="shared" ca="1" si="14"/>
        <v>-5.6692319709297919E-4</v>
      </c>
      <c r="Z495">
        <v>493</v>
      </c>
      <c r="AA495" s="8">
        <v>2.3836842012110667E-2</v>
      </c>
      <c r="AC495">
        <v>493</v>
      </c>
      <c r="AD495" s="8">
        <v>2.7170176104611258E-2</v>
      </c>
      <c r="AF495">
        <v>493</v>
      </c>
      <c r="AG495" s="8">
        <v>2.2595264677321293E-2</v>
      </c>
    </row>
    <row r="496" spans="1:33" ht="15" customHeight="1" x14ac:dyDescent="0.35">
      <c r="A496" vm="1003">
        <f ca="1"/>
        <v>46009</v>
      </c>
      <c r="B496" s="6" vm="1004">
        <f ca="1"/>
        <v>483.98</v>
      </c>
      <c r="C496" s="2">
        <f t="shared" ca="1" si="14"/>
        <v>1.6373660249112808E-2</v>
      </c>
      <c r="Z496">
        <v>494</v>
      </c>
      <c r="AA496" s="8">
        <v>5.7990928017518553E-2</v>
      </c>
      <c r="AC496">
        <v>494</v>
      </c>
      <c r="AD496" s="8">
        <v>3.7110321668553534E-2</v>
      </c>
      <c r="AF496">
        <v>494</v>
      </c>
      <c r="AG496" s="8">
        <v>2.337371153377921E-2</v>
      </c>
    </row>
    <row r="497" spans="1:33" ht="15" customHeight="1" x14ac:dyDescent="0.35">
      <c r="A497" vm="1005">
        <f ca="1"/>
        <v>46010</v>
      </c>
      <c r="B497" s="6" vm="1006">
        <f ca="1"/>
        <v>485.92</v>
      </c>
      <c r="C497" s="2">
        <f t="shared" ca="1" si="14"/>
        <v>4.0004177486467774E-3</v>
      </c>
      <c r="Z497">
        <v>495</v>
      </c>
      <c r="AA497" s="8">
        <v>2.9456299954035654E-2</v>
      </c>
      <c r="AC497">
        <v>495</v>
      </c>
      <c r="AD497" s="8">
        <v>2.4709355789399215E-2</v>
      </c>
      <c r="AF497">
        <v>495</v>
      </c>
      <c r="AG497" s="8">
        <v>2.198801885840531E-2</v>
      </c>
    </row>
    <row r="498" spans="1:33" ht="15" customHeight="1" x14ac:dyDescent="0.35">
      <c r="A498" vm="1007">
        <f ca="1"/>
        <v>46013</v>
      </c>
      <c r="B498" s="6" vm="1008">
        <f ca="1"/>
        <v>484.92</v>
      </c>
      <c r="C498" s="2">
        <f t="shared" ca="1" si="14"/>
        <v>-2.0600724190560451E-3</v>
      </c>
      <c r="Z498">
        <v>496</v>
      </c>
      <c r="AA498" s="8">
        <v>5.5288122663877247E-2</v>
      </c>
      <c r="AC498">
        <v>496</v>
      </c>
      <c r="AD498" s="8">
        <v>4.2926390314854172E-2</v>
      </c>
      <c r="AF498">
        <v>496</v>
      </c>
      <c r="AG498" s="8">
        <v>2.2155111274480721E-2</v>
      </c>
    </row>
    <row r="499" spans="1:33" ht="15" customHeight="1" x14ac:dyDescent="0.35">
      <c r="A499" vm="1009">
        <f ca="1"/>
        <v>46014</v>
      </c>
      <c r="B499" s="6" vm="1010">
        <f ca="1"/>
        <v>486.85</v>
      </c>
      <c r="C499" s="2">
        <f t="shared" ca="1" si="14"/>
        <v>3.9721385463826718E-3</v>
      </c>
      <c r="Z499">
        <v>497</v>
      </c>
      <c r="AA499" s="8">
        <v>3.0857151597195154E-2</v>
      </c>
      <c r="AC499">
        <v>497</v>
      </c>
      <c r="AD499" s="8">
        <v>2.4309739353421681E-2</v>
      </c>
      <c r="AF499">
        <v>497</v>
      </c>
      <c r="AG499" s="8">
        <v>2.1672403049652563E-2</v>
      </c>
    </row>
    <row r="500" spans="1:33" ht="15" customHeight="1" x14ac:dyDescent="0.35">
      <c r="A500" vm="1011">
        <f ca="1"/>
        <v>46015</v>
      </c>
      <c r="B500" s="6" vm="1012">
        <f ca="1"/>
        <v>488.02</v>
      </c>
      <c r="C500" s="2">
        <f t="shared" ca="1" si="14"/>
        <v>2.4003211951340825E-3</v>
      </c>
      <c r="Z500">
        <v>498</v>
      </c>
      <c r="AA500" s="8">
        <v>4.636794104028559E-2</v>
      </c>
      <c r="AC500">
        <v>498</v>
      </c>
      <c r="AD500" s="8">
        <v>3.7604520331761863E-2</v>
      </c>
      <c r="AF500">
        <v>498</v>
      </c>
      <c r="AG500" s="8">
        <v>2.1421017675079781E-2</v>
      </c>
    </row>
    <row r="501" spans="1:33" ht="15" customHeight="1" x14ac:dyDescent="0.35">
      <c r="A501" vm="1013">
        <f ca="1"/>
        <v>46017</v>
      </c>
      <c r="B501" s="6" vm="1014">
        <f ca="1"/>
        <v>487.71</v>
      </c>
      <c r="C501" s="2">
        <f t="shared" ca="1" si="14"/>
        <v>-6.3542170565724005E-4</v>
      </c>
      <c r="Z501">
        <v>499</v>
      </c>
      <c r="AA501" s="8">
        <v>2.1265923256970513E-2</v>
      </c>
      <c r="AC501">
        <v>499</v>
      </c>
      <c r="AD501" s="8">
        <v>5.389585164623812E-2</v>
      </c>
      <c r="AF501">
        <v>499</v>
      </c>
      <c r="AG501" s="8">
        <v>2.2672513773696504E-2</v>
      </c>
    </row>
    <row r="502" spans="1:33" ht="15" customHeight="1" x14ac:dyDescent="0.35">
      <c r="A502" vm="1015">
        <f ca="1"/>
        <v>46020</v>
      </c>
      <c r="B502" s="6" vm="1016">
        <f ca="1"/>
        <v>487.1</v>
      </c>
      <c r="C502" s="2">
        <f t="shared" ca="1" si="14"/>
        <v>-1.2515261017451839E-3</v>
      </c>
      <c r="Z502">
        <v>500</v>
      </c>
      <c r="AA502" s="8">
        <v>2.6235187814430121E-2</v>
      </c>
      <c r="AC502">
        <v>500</v>
      </c>
      <c r="AD502" s="8">
        <v>4.67334175581402E-2</v>
      </c>
      <c r="AF502">
        <v>500</v>
      </c>
      <c r="AG502" s="8">
        <v>2.3025757909849457E-2</v>
      </c>
    </row>
    <row r="503" spans="1:33" ht="15" customHeight="1" x14ac:dyDescent="0.35">
      <c r="A503" vm="1017">
        <f ca="1"/>
        <v>46021</v>
      </c>
      <c r="B503" s="6" vm="1018">
        <f ca="1"/>
        <v>487.48</v>
      </c>
      <c r="C503" s="2">
        <f t="shared" ca="1" si="14"/>
        <v>7.7982314280453015E-4</v>
      </c>
    </row>
    <row r="504" spans="1:33" ht="15" customHeight="1" x14ac:dyDescent="0.35">
      <c r="A504" vm="3">
        <f ca="1"/>
        <v>46022</v>
      </c>
      <c r="B504" s="6" vm="4">
        <f ca="1"/>
        <v>483.62</v>
      </c>
      <c r="C504" s="2">
        <f t="shared" ca="1" si="14"/>
        <v>-7.9497895768508298E-3</v>
      </c>
    </row>
  </sheetData>
  <mergeCells count="2">
    <mergeCell ref="E16:H16"/>
    <mergeCell ref="K16:N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Advik Sakhare</dc:creator>
  <cp:lastModifiedBy>Advik Sakhare</cp:lastModifiedBy>
  <dcterms:created xsi:type="dcterms:W3CDTF">2026-04-01T01:15:34Z</dcterms:created>
  <dcterms:modified xsi:type="dcterms:W3CDTF">2026-04-16T14:35:32Z</dcterms:modified>
</cp:coreProperties>
</file>